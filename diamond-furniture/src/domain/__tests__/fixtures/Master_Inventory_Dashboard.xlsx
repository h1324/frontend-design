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lerts" sheetId="2" state="visible" r:id="rId4"/>
    <sheet name="Master SKU List" sheetId="3" state="visible" r:id="rId5"/>
    <sheet name="Category Summary" sheetId="4" state="visible" r:id="rId6"/>
  </sheets>
  <definedNames>
    <definedName function="false" hidden="true" localSheetId="2" name="_xlnm._FilterDatabase" vbProcedure="false">'Master SKU List'!$A$2:$I$698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<sst xmlns="http://schemas.openxmlformats.org/spreadsheetml/2006/main" count="2364" uniqueCount="287">
  <si>
    <t xml:space="preserve">Master Inventory Dashboard — April 2026</t>
  </si>
  <si>
    <t xml:space="preserve">Diamond Furniture — consolidated from Production_update_APRIL_2026.xlsx</t>
  </si>
  <si>
    <t xml:space="preserve">What this is</t>
  </si>
  <si>
    <t xml:space="preserve">Your production file already tracks opening stock, machine-wise production, sales by dealer, and closing stock —</t>
  </si>
  <si>
    <t xml:space="preserve">in real detail, across 27 separate product tabs. That level of detail is genuinely good. The gap was visibility:</t>
  </si>
  <si>
    <t xml:space="preserve">nothing pulled it together, so spotting what's low, overstocked, or wrong meant checking all 27 tabs by hand.</t>
  </si>
  <si>
    <t xml:space="preserve">This workbook pulls every SKU (706 of them — product x colour) into one place, with automatic flags.</t>
  </si>
  <si>
    <t xml:space="preserve">What's in each tab</t>
  </si>
  <si>
    <t xml:space="preserve">ALERTS — the two things worth looking at first: SKUs with negative stock (a data/recording issue, not a real</t>
  </si>
  <si>
    <t xml:space="preserve">  negative quantity), and SKUs that look critically low relative to this month's sales.</t>
  </si>
  <si>
    <t xml:space="preserve">MASTER SKU LIST — all 706 SKUs: opening stock, sold this period, closing stock, and a status flag for each.</t>
  </si>
  <si>
    <t xml:space="preserve">CATEGORY SUMMARY — totals rolled up by product line, so you can see which lines are moving and which aren't</t>
  </si>
  <si>
    <t xml:space="preserve">  (e.g. Innova had zero production and zero sales this month — worth checking if that's intentional).</t>
  </si>
  <si>
    <t xml:space="preserve">Important limitations — read before acting on this</t>
  </si>
  <si>
    <t xml:space="preserve">1. This is ONE month of data. 'Months of Cover' and the Low Stock flag are based only on April's sell-through,</t>
  </si>
  <si>
    <t xml:space="preserve">   which is a rough first signal, not a reliable forecast yet. Accuracy improves once a few months are loaded.</t>
  </si>
  <si>
    <t xml:space="preserve">2. The 'Sumo' sheet uses a slightly different layout for its sales section — 20 SKUs on that tab show sold</t>
  </si>
  <si>
    <t xml:space="preserve">   quantity as blank here. Worth checking that tab directly if you need Sumo's exact sales figure.</t>
  </si>
  <si>
    <t xml:space="preserve">3. Negative closing stock (28 SKUs) almost certainly means more was dispatched/recorded than was ever logged</t>
  </si>
  <si>
    <t xml:space="preserve">   as available — likely a timing gap between production entries and sales entries, not real negative stock.</t>
  </si>
  <si>
    <t xml:space="preserve">How to keep this going</t>
  </si>
  <si>
    <t xml:space="preserve">Send next month's production file the same way and I'll rebuild this dashboard from it — takes a few minutes.</t>
  </si>
  <si>
    <t xml:space="preserve">Once 3-4 months are loaded side by side, the Low Stock / Overstock flags become genuinely reliable, since</t>
  </si>
  <si>
    <t xml:space="preserve">they'll be based on an actual average instead of a single month.</t>
  </si>
  <si>
    <t xml:space="preserve">Alerts — Where to Look First</t>
  </si>
  <si>
    <t xml:space="preserve">Pulled automatically from Master SKU List. Refresh with Ctrl+Alt+F9 if numbers look stale.</t>
  </si>
  <si>
    <t xml:space="preserve">Negative Stock (data issue)</t>
  </si>
  <si>
    <t xml:space="preserve">Low Stock (urgent)</t>
  </si>
  <si>
    <t xml:space="preserve">Overstock</t>
  </si>
  <si>
    <t xml:space="preserve">No Activity This Month</t>
  </si>
  <si>
    <t xml:space="preserve">Negative Stock — check these entries first</t>
  </si>
  <si>
    <t xml:space="preserve">Product Sheet</t>
  </si>
  <si>
    <t xml:space="preserve">Model / Variant</t>
  </si>
  <si>
    <t xml:space="preserve">Colour</t>
  </si>
  <si>
    <t xml:space="preserve">Closing Stock</t>
  </si>
  <si>
    <t xml:space="preserve">Sold This Period</t>
  </si>
  <si>
    <t xml:space="preserve">F.Stand &amp; C Table</t>
  </si>
  <si>
    <t xml:space="preserve">Fridge Stand 3</t>
  </si>
  <si>
    <t xml:space="preserve">Brown</t>
  </si>
  <si>
    <t xml:space="preserve">BIG CHAIR</t>
  </si>
  <si>
    <t xml:space="preserve">6002 (Chattai)</t>
  </si>
  <si>
    <t xml:space="preserve">B.Gold</t>
  </si>
  <si>
    <t xml:space="preserve">Black</t>
  </si>
  <si>
    <t xml:space="preserve">Cherry</t>
  </si>
  <si>
    <t xml:space="preserve">Aless</t>
  </si>
  <si>
    <t xml:space="preserve">102(Gold-P)</t>
  </si>
  <si>
    <t xml:space="preserve">10001 New (Goli)</t>
  </si>
  <si>
    <t xml:space="preserve">Mix</t>
  </si>
  <si>
    <t xml:space="preserve">Small Chair</t>
  </si>
  <si>
    <t xml:space="preserve">403(WIFI)</t>
  </si>
  <si>
    <t xml:space="preserve">S.Wood</t>
  </si>
  <si>
    <t xml:space="preserve">101(Chattai)</t>
  </si>
  <si>
    <t xml:space="preserve">Orange</t>
  </si>
  <si>
    <t xml:space="preserve">5003 (Flower)</t>
  </si>
  <si>
    <t xml:space="preserve">Tea Table</t>
  </si>
  <si>
    <t xml:space="preserve">Fridge Stand 1</t>
  </si>
  <si>
    <t xml:space="preserve">Red First</t>
  </si>
  <si>
    <t xml:space="preserve">ClipON Stool</t>
  </si>
  <si>
    <t xml:space="preserve">Stool 2</t>
  </si>
  <si>
    <t xml:space="preserve">A.Gold</t>
  </si>
  <si>
    <t xml:space="preserve">M.B</t>
  </si>
  <si>
    <t xml:space="preserve">Garden Table</t>
  </si>
  <si>
    <t xml:space="preserve">ARM LESS SUMO</t>
  </si>
  <si>
    <t xml:space="preserve">Yoddha</t>
  </si>
  <si>
    <t xml:space="preserve">502</t>
  </si>
  <si>
    <t xml:space="preserve">EV Chair</t>
  </si>
  <si>
    <t xml:space="preserve">201</t>
  </si>
  <si>
    <t xml:space="preserve">Jordan Chair</t>
  </si>
  <si>
    <t xml:space="preserve">G.Black</t>
  </si>
  <si>
    <t xml:space="preserve">402(Chattai)</t>
  </si>
  <si>
    <t xml:space="preserve">High cros</t>
  </si>
  <si>
    <t xml:space="preserve">601 (High Cros)</t>
  </si>
  <si>
    <t xml:space="preserve">Yellow</t>
  </si>
  <si>
    <t xml:space="preserve">P.Green</t>
  </si>
  <si>
    <t xml:space="preserve">P.Blue</t>
  </si>
  <si>
    <t xml:space="preserve">T.Wood/M.B</t>
  </si>
  <si>
    <t xml:space="preserve">Low Stock — under 2 weeks of cover at this month's sell-through rate</t>
  </si>
  <si>
    <t xml:space="preserve">Months of Cover</t>
  </si>
  <si>
    <t xml:space="preserve">2001(New)</t>
  </si>
  <si>
    <t xml:space="preserve">S-W</t>
  </si>
  <si>
    <t xml:space="preserve">R-W</t>
  </si>
  <si>
    <t xml:space="preserve">6003 (Patti)</t>
  </si>
  <si>
    <t xml:space="preserve">Silver.B</t>
  </si>
  <si>
    <t xml:space="preserve">Activa</t>
  </si>
  <si>
    <t xml:space="preserve">4003 (Goli)</t>
  </si>
  <si>
    <t xml:space="preserve">M.BZ</t>
  </si>
  <si>
    <t xml:space="preserve">P.Pink</t>
  </si>
  <si>
    <t xml:space="preserve">202</t>
  </si>
  <si>
    <t xml:space="preserve">S.Black</t>
  </si>
  <si>
    <t xml:space="preserve">Jordan New</t>
  </si>
  <si>
    <t xml:space="preserve">1003</t>
  </si>
  <si>
    <t xml:space="preserve">S. BLACK SECOND</t>
  </si>
  <si>
    <t xml:space="preserve">Dining Table</t>
  </si>
  <si>
    <t xml:space="preserve">Dining - Top Square</t>
  </si>
  <si>
    <t xml:space="preserve"> BABA CHAIR 1</t>
  </si>
  <si>
    <t xml:space="preserve">Baba Chair 1</t>
  </si>
  <si>
    <t xml:space="preserve">Blue</t>
  </si>
  <si>
    <t xml:space="preserve">B.G</t>
  </si>
  <si>
    <t xml:space="preserve">T.W</t>
  </si>
  <si>
    <t xml:space="preserve">Red (1)</t>
  </si>
  <si>
    <t xml:space="preserve">T.Wood</t>
  </si>
  <si>
    <t xml:space="preserve">Fresh</t>
  </si>
  <si>
    <t xml:space="preserve">Total</t>
  </si>
  <si>
    <t xml:space="preserve">Black.Gold</t>
  </si>
  <si>
    <t xml:space="preserve">G.Total</t>
  </si>
  <si>
    <t xml:space="preserve">B .Gold</t>
  </si>
  <si>
    <t xml:space="preserve">1001</t>
  </si>
  <si>
    <t xml:space="preserve">B. Gold</t>
  </si>
  <si>
    <t xml:space="preserve">P.Yellow</t>
  </si>
  <si>
    <t xml:space="preserve">XUV</t>
  </si>
  <si>
    <t xml:space="preserve">8003 ClipON</t>
  </si>
  <si>
    <t xml:space="preserve">Br.Green</t>
  </si>
  <si>
    <t xml:space="preserve">...and 10 more. See Master SKU List, filter Status = Low Stock.</t>
  </si>
  <si>
    <t xml:space="preserve">All SKUs consolidated from the 27 product tabs in Production_update_APRIL_2026.xlsx. Source figures (blue) are pulled as-is; flags (black) are calculated.</t>
  </si>
  <si>
    <t xml:space="preserve">Opening Stock</t>
  </si>
  <si>
    <t xml:space="preserve">Status</t>
  </si>
  <si>
    <t xml:space="preserve">Notes</t>
  </si>
  <si>
    <t xml:space="preserve">G.B</t>
  </si>
  <si>
    <t xml:space="preserve">B.Silver</t>
  </si>
  <si>
    <t xml:space="preserve">M.Bz</t>
  </si>
  <si>
    <t xml:space="preserve">P.Silver</t>
  </si>
  <si>
    <t xml:space="preserve">5001 (Maharaja)</t>
  </si>
  <si>
    <t xml:space="preserve">C-W</t>
  </si>
  <si>
    <t xml:space="preserve">B-Silver</t>
  </si>
  <si>
    <t xml:space="preserve">KR</t>
  </si>
  <si>
    <t xml:space="preserve">BCM</t>
  </si>
  <si>
    <t xml:space="preserve">5002 (Maharaja) - Gold</t>
  </si>
  <si>
    <t xml:space="preserve">White</t>
  </si>
  <si>
    <t xml:space="preserve">Karara</t>
  </si>
  <si>
    <t xml:space="preserve">P-Silver</t>
  </si>
  <si>
    <t xml:space="preserve">Blue,5003</t>
  </si>
  <si>
    <t xml:space="preserve">Red F</t>
  </si>
  <si>
    <t xml:space="preserve">5003, Orange</t>
  </si>
  <si>
    <t xml:space="preserve">6001 (Goli)</t>
  </si>
  <si>
    <t xml:space="preserve">P.White</t>
  </si>
  <si>
    <t xml:space="preserve">Brown First</t>
  </si>
  <si>
    <t xml:space="preserve">M.B.</t>
  </si>
  <si>
    <t xml:space="preserve">S-Wood</t>
  </si>
  <si>
    <t xml:space="preserve">T-Wood</t>
  </si>
  <si>
    <t xml:space="preserve">S-Black</t>
  </si>
  <si>
    <t xml:space="preserve">A.G</t>
  </si>
  <si>
    <t xml:space="preserve">Gold</t>
  </si>
  <si>
    <t xml:space="preserve">2002</t>
  </si>
  <si>
    <t xml:space="preserve">G . Black</t>
  </si>
  <si>
    <t xml:space="preserve">YELLOW</t>
  </si>
  <si>
    <t xml:space="preserve">S .B 2002</t>
  </si>
  <si>
    <t xml:space="preserve">2001OK</t>
  </si>
  <si>
    <t xml:space="preserve">T.W 2002</t>
  </si>
  <si>
    <t xml:space="preserve">M.B 1</t>
  </si>
  <si>
    <t xml:space="preserve">C-Mix</t>
  </si>
  <si>
    <t xml:space="preserve">G.Rejn</t>
  </si>
  <si>
    <t xml:space="preserve">Sumo</t>
  </si>
  <si>
    <t xml:space="preserve">Sumo - 301</t>
  </si>
  <si>
    <t xml:space="preserve">Coloured</t>
  </si>
  <si>
    <t xml:space="preserve">Red</t>
  </si>
  <si>
    <t xml:space="preserve">P-Pink</t>
  </si>
  <si>
    <t xml:space="preserve">P-White</t>
  </si>
  <si>
    <t xml:space="preserve">P. Silver</t>
  </si>
  <si>
    <t xml:space="preserve">Br.Blue</t>
  </si>
  <si>
    <t xml:space="preserve">Black Red</t>
  </si>
  <si>
    <t xml:space="preserve">Br.Orange</t>
  </si>
  <si>
    <t xml:space="preserve">Black Green</t>
  </si>
  <si>
    <t xml:space="preserve">Black Blue</t>
  </si>
  <si>
    <t xml:space="preserve">Br.Red</t>
  </si>
  <si>
    <t xml:space="preserve">Black Orange</t>
  </si>
  <si>
    <t xml:space="preserve">8002 (Y)</t>
  </si>
  <si>
    <t xml:space="preserve">B . Silver</t>
  </si>
  <si>
    <t xml:space="preserve">B.Gold/Spl</t>
  </si>
  <si>
    <t xml:space="preserve">8001 (Pearl)</t>
  </si>
  <si>
    <t xml:space="preserve">A.Gold Red/8003</t>
  </si>
  <si>
    <t xml:space="preserve">Blue F</t>
  </si>
  <si>
    <t xml:space="preserve">M.Beige F</t>
  </si>
  <si>
    <t xml:space="preserve">G.R.C.</t>
  </si>
  <si>
    <t xml:space="preserve">Innova</t>
  </si>
  <si>
    <t xml:space="preserve">Innova (3001)</t>
  </si>
  <si>
    <t xml:space="preserve">BROWN</t>
  </si>
  <si>
    <t xml:space="preserve">Innova (3002)</t>
  </si>
  <si>
    <t xml:space="preserve">M.Beige</t>
  </si>
  <si>
    <t xml:space="preserve">R.Wood</t>
  </si>
  <si>
    <t xml:space="preserve">Innova(3003)</t>
  </si>
  <si>
    <t xml:space="preserve">Stool</t>
  </si>
  <si>
    <t xml:space="preserve">Stool 1</t>
  </si>
  <si>
    <t xml:space="preserve">M.Beize</t>
  </si>
  <si>
    <t xml:space="preserve">B Red</t>
  </si>
  <si>
    <t xml:space="preserve">S.W</t>
  </si>
  <si>
    <t xml:space="preserve">R.W</t>
  </si>
  <si>
    <t xml:space="preserve">4001 (Cushion)</t>
  </si>
  <si>
    <t xml:space="preserve">P.Blue/D. Blue</t>
  </si>
  <si>
    <t xml:space="preserve">Red 1</t>
  </si>
  <si>
    <t xml:space="preserve">P. Green</t>
  </si>
  <si>
    <t xml:space="preserve">4002 (Y)</t>
  </si>
  <si>
    <t xml:space="preserve">Gold 4001</t>
  </si>
  <si>
    <t xml:space="preserve">S.B 4001</t>
  </si>
  <si>
    <t xml:space="preserve">Pink 4001</t>
  </si>
  <si>
    <t xml:space="preserve">S.B</t>
  </si>
  <si>
    <t xml:space="preserve">401(Flower)</t>
  </si>
  <si>
    <t xml:space="preserve">Green</t>
  </si>
  <si>
    <t xml:space="preserve">Red Fist</t>
  </si>
  <si>
    <t xml:space="preserve">Yellow First</t>
  </si>
  <si>
    <t xml:space="preserve">D .Green First</t>
  </si>
  <si>
    <t xml:space="preserve">P.Pink /White</t>
  </si>
  <si>
    <t xml:space="preserve">Br/GoldBrown</t>
  </si>
  <si>
    <t xml:space="preserve">S.B 2</t>
  </si>
  <si>
    <t xml:space="preserve">GOLD</t>
  </si>
  <si>
    <t xml:space="preserve">203</t>
  </si>
  <si>
    <t xml:space="preserve">P. Green1</t>
  </si>
  <si>
    <t xml:space="preserve">S. Black</t>
  </si>
  <si>
    <t xml:space="preserve">M.Bz First</t>
  </si>
  <si>
    <t xml:space="preserve">B. Silver2</t>
  </si>
  <si>
    <t xml:space="preserve">103(Barfi)</t>
  </si>
  <si>
    <t xml:space="preserve">Silver</t>
  </si>
  <si>
    <t xml:space="preserve">OK</t>
  </si>
  <si>
    <t xml:space="preserve">T . Wood</t>
  </si>
  <si>
    <t xml:space="preserve">Chota Heritage</t>
  </si>
  <si>
    <t xml:space="preserve">7001 (Cushion)</t>
  </si>
  <si>
    <t xml:space="preserve">7002 (Y)</t>
  </si>
  <si>
    <t xml:space="preserve">7003 (Goli)</t>
  </si>
  <si>
    <t xml:space="preserve">C.W</t>
  </si>
  <si>
    <t xml:space="preserve">P Green</t>
  </si>
  <si>
    <t xml:space="preserve">M.P.Stool</t>
  </si>
  <si>
    <t xml:space="preserve">Br.Gold</t>
  </si>
  <si>
    <t xml:space="preserve">D.Green</t>
  </si>
  <si>
    <t xml:space="preserve">D.Blue</t>
  </si>
  <si>
    <t xml:space="preserve">Green First</t>
  </si>
  <si>
    <t xml:space="preserve">Orange First</t>
  </si>
  <si>
    <t xml:space="preserve">M.Beige Ist</t>
  </si>
  <si>
    <t xml:space="preserve">501</t>
  </si>
  <si>
    <t xml:space="preserve">Br. CloN</t>
  </si>
  <si>
    <t xml:space="preserve">Brown mix</t>
  </si>
  <si>
    <t xml:space="preserve">Orange 502</t>
  </si>
  <si>
    <t xml:space="preserve">T.Wod/Gold</t>
  </si>
  <si>
    <t xml:space="preserve">P.Red</t>
  </si>
  <si>
    <t xml:space="preserve">503</t>
  </si>
  <si>
    <t xml:space="preserve">B.Gold502</t>
  </si>
  <si>
    <t xml:space="preserve">Singham</t>
  </si>
  <si>
    <t xml:space="preserve">Blue 502</t>
  </si>
  <si>
    <t xml:space="preserve">White mix</t>
  </si>
  <si>
    <t xml:space="preserve">Baby Chair</t>
  </si>
  <si>
    <t xml:space="preserve">Baby Chair 201</t>
  </si>
  <si>
    <t xml:space="preserve">Red Ist</t>
  </si>
  <si>
    <t xml:space="preserve">P.Orange</t>
  </si>
  <si>
    <t xml:space="preserve">Baby Chair 2</t>
  </si>
  <si>
    <t xml:space="preserve">Pink</t>
  </si>
  <si>
    <t xml:space="preserve">Baby Chair 3</t>
  </si>
  <si>
    <t xml:space="preserve">P.Green Sumo Baby</t>
  </si>
  <si>
    <t xml:space="preserve">Sumo Baby Chair</t>
  </si>
  <si>
    <t xml:space="preserve">B.GLD</t>
  </si>
  <si>
    <t xml:space="preserve">1002</t>
  </si>
  <si>
    <t xml:space="preserve">A-Gold</t>
  </si>
  <si>
    <t xml:space="preserve">G.B/Br.Black</t>
  </si>
  <si>
    <t xml:space="preserve">Gold 1</t>
  </si>
  <si>
    <t xml:space="preserve">S .Black</t>
  </si>
  <si>
    <t xml:space="preserve">9002 (Goli)</t>
  </si>
  <si>
    <t xml:space="preserve">9003 (Plain)</t>
  </si>
  <si>
    <t xml:space="preserve">T.W 9002</t>
  </si>
  <si>
    <t xml:space="preserve">BLUE</t>
  </si>
  <si>
    <t xml:space="preserve">B .Silver</t>
  </si>
  <si>
    <t xml:space="preserve">SILVER</t>
  </si>
  <si>
    <t xml:space="preserve">Ring Table</t>
  </si>
  <si>
    <t xml:space="preserve">RING TABLE</t>
  </si>
  <si>
    <t xml:space="preserve">blue</t>
  </si>
  <si>
    <t xml:space="preserve">B. GOLD</t>
  </si>
  <si>
    <t xml:space="preserve">JIO TABLE</t>
  </si>
  <si>
    <t xml:space="preserve">JIO  - Top</t>
  </si>
  <si>
    <t xml:space="preserve">JIO - Joint and Leg</t>
  </si>
  <si>
    <t xml:space="preserve">White. F</t>
  </si>
  <si>
    <t xml:space="preserve">JIO Top - Round</t>
  </si>
  <si>
    <t xml:space="preserve">M.Beize F</t>
  </si>
  <si>
    <t xml:space="preserve">Dining - Joint and Leg</t>
  </si>
  <si>
    <t xml:space="preserve">Dining Top - Round</t>
  </si>
  <si>
    <t xml:space="preserve">Web Chair</t>
  </si>
  <si>
    <t xml:space="preserve">Wap Chair</t>
  </si>
  <si>
    <t xml:space="preserve">A .G</t>
  </si>
  <si>
    <t xml:space="preserve">Coffee - Table</t>
  </si>
  <si>
    <t xml:space="preserve">S . BLACK</t>
  </si>
  <si>
    <t xml:space="preserve">Fruit Crate</t>
  </si>
  <si>
    <t xml:space="preserve">Blue &amp; Red( F )</t>
  </si>
  <si>
    <t xml:space="preserve">Grey</t>
  </si>
  <si>
    <t xml:space="preserve">Fruit Crate (700)</t>
  </si>
  <si>
    <t xml:space="preserve">B-Brown</t>
  </si>
  <si>
    <t xml:space="preserve">T-W</t>
  </si>
  <si>
    <t xml:space="preserve">Totals rolled up per product sheet (i.e. per product line), pulled from Master SKU List.</t>
  </si>
  <si>
    <t xml:space="preserve">Total Opening Stock</t>
  </si>
  <si>
    <t xml:space="preserve">Total Sold This Period</t>
  </si>
  <si>
    <t xml:space="preserve">Total Closing Stock</t>
  </si>
  <si>
    <t xml:space="preserve"># SKUs</t>
  </si>
  <si>
    <t xml:space="preserve"># Flagged (Low/Negative)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</si>
</sst>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B45309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20"/>
      <color rgb="FF1F2937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5F4E6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>
          <bgColor rgb="FFFADBD8"/>
        </patternFill>
      </fill>
    </dxf>
    <dxf>
      <fill>
        <patternFill>
          <bgColor rgb="FFFDEBD0"/>
        </patternFill>
      </fill>
    </dxf>
    <dxf>
      <fill>
        <patternFill>
          <bgColor rgb="FFD5F4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DEBD0"/>
      <rgbColor rgb="FFD5F4E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6" customFormat="false" ht="15" hidden="false" customHeight="false" outlineLevel="0" collapsed="false">
      <c r="B26" s="3" t="s">
        <v>20</v>
      </c>
    </row>
    <row r="27" customFormat="false" ht="1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5" t="s">
        <v>24</v>
      </c>
    </row>
    <row r="3" customFormat="false" ht="15" hidden="false" customHeight="false" outlineLevel="0" collapsed="false">
      <c r="B3" s="2" t="s">
        <v>25</v>
      </c>
    </row>
    <row r="5" customFormat="false" ht="15" hidden="false" customHeight="false" outlineLevel="0" collapsed="false">
      <c r="B5" s="6" t="s">
        <v>26</v>
      </c>
      <c r="C5" s="6"/>
      <c r="D5" s="6" t="s">
        <v>27</v>
      </c>
      <c r="E5" s="6"/>
      <c r="F5" s="6" t="s">
        <v>28</v>
      </c>
      <c r="G5" s="6"/>
      <c r="H5" s="6" t="s">
        <v>29</v>
      </c>
      <c r="I5" s="6"/>
    </row>
    <row r="6" customFormat="false" ht="24.45" hidden="false" customHeight="false" outlineLevel="0" collapsed="false">
      <c r="B6" s="7" t="n">
        <f aca="false">COUNTIF('Master SKU List'!H3:H698,"Negative (check entry)")</f>
        <v>28</v>
      </c>
      <c r="C6" s="7"/>
      <c r="D6" s="7" t="n">
        <f aca="false">COUNTIF('Master SKU List'!H3:H698,"Low Stock")</f>
        <v>50</v>
      </c>
      <c r="E6" s="7"/>
      <c r="F6" s="7" t="n">
        <f aca="false">COUNTIF('Master SKU List'!H3:H698,"Overstock")</f>
        <v>76</v>
      </c>
      <c r="G6" s="7"/>
      <c r="H6" s="7" t="n">
        <f aca="false">COUNTIF('Master SKU List'!H3:H698,"No Activity")</f>
        <v>363</v>
      </c>
      <c r="I6" s="7"/>
    </row>
    <row r="9" customFormat="false" ht="15" hidden="false" customHeight="false" outlineLevel="0" collapsed="false">
      <c r="B9" s="8" t="s">
        <v>30</v>
      </c>
    </row>
    <row r="10" customFormat="false" ht="15" hidden="false" customHeight="false" outlineLevel="0" collapsed="false">
      <c r="B10" s="9" t="s">
        <v>31</v>
      </c>
      <c r="C10" s="9" t="s">
        <v>32</v>
      </c>
      <c r="D10" s="9" t="s">
        <v>33</v>
      </c>
      <c r="E10" s="9" t="s">
        <v>34</v>
      </c>
      <c r="F10" s="9" t="s">
        <v>35</v>
      </c>
    </row>
    <row r="11" customFormat="false" ht="15" hidden="false" customHeight="false" outlineLevel="0" collapsed="false">
      <c r="B11" s="10" t="s">
        <v>36</v>
      </c>
      <c r="C11" s="10" t="s">
        <v>37</v>
      </c>
      <c r="D11" s="10" t="s">
        <v>38</v>
      </c>
      <c r="E11" s="11" t="n">
        <v>-1600</v>
      </c>
      <c r="F11" s="10" t="n">
        <v>1600</v>
      </c>
    </row>
    <row r="12" customFormat="false" ht="15" hidden="false" customHeight="false" outlineLevel="0" collapsed="false">
      <c r="B12" s="10" t="s">
        <v>39</v>
      </c>
      <c r="C12" s="10" t="s">
        <v>40</v>
      </c>
      <c r="D12" s="10" t="s">
        <v>41</v>
      </c>
      <c r="E12" s="11" t="n">
        <v>-800</v>
      </c>
      <c r="F12" s="10" t="n">
        <v>800</v>
      </c>
    </row>
    <row r="13" customFormat="false" ht="15" hidden="false" customHeight="false" outlineLevel="0" collapsed="false">
      <c r="B13" s="10" t="s">
        <v>36</v>
      </c>
      <c r="C13" s="10" t="s">
        <v>37</v>
      </c>
      <c r="D13" s="10" t="s">
        <v>42</v>
      </c>
      <c r="E13" s="11" t="n">
        <v>-580</v>
      </c>
      <c r="F13" s="10" t="n">
        <v>580</v>
      </c>
    </row>
    <row r="14" customFormat="false" ht="15" hidden="false" customHeight="false" outlineLevel="0" collapsed="false">
      <c r="B14" s="10" t="s">
        <v>36</v>
      </c>
      <c r="C14" s="10" t="s">
        <v>37</v>
      </c>
      <c r="D14" s="10" t="s">
        <v>43</v>
      </c>
      <c r="E14" s="11" t="n">
        <v>-520</v>
      </c>
      <c r="F14" s="10" t="n">
        <v>520</v>
      </c>
    </row>
    <row r="15" customFormat="false" ht="15" hidden="false" customHeight="false" outlineLevel="0" collapsed="false">
      <c r="B15" s="10" t="s">
        <v>44</v>
      </c>
      <c r="C15" s="10" t="s">
        <v>45</v>
      </c>
      <c r="D15" s="10" t="s">
        <v>38</v>
      </c>
      <c r="E15" s="11" t="n">
        <v>-500</v>
      </c>
      <c r="F15" s="10" t="n">
        <v>1800</v>
      </c>
    </row>
    <row r="16" customFormat="false" ht="15" hidden="false" customHeight="false" outlineLevel="0" collapsed="false">
      <c r="B16" s="10" t="s">
        <v>39</v>
      </c>
      <c r="C16" s="10" t="s">
        <v>46</v>
      </c>
      <c r="D16" s="10" t="s">
        <v>47</v>
      </c>
      <c r="E16" s="11" t="n">
        <v>-448</v>
      </c>
      <c r="F16" s="10" t="n">
        <v>16176</v>
      </c>
    </row>
    <row r="17" customFormat="false" ht="15" hidden="false" customHeight="false" outlineLevel="0" collapsed="false">
      <c r="B17" s="10" t="s">
        <v>48</v>
      </c>
      <c r="C17" s="10" t="s">
        <v>49</v>
      </c>
      <c r="D17" s="10" t="s">
        <v>50</v>
      </c>
      <c r="E17" s="11" t="n">
        <v>-280</v>
      </c>
      <c r="F17" s="10" t="n">
        <v>2500</v>
      </c>
    </row>
    <row r="18" customFormat="false" ht="15" hidden="false" customHeight="false" outlineLevel="0" collapsed="false">
      <c r="B18" s="10" t="s">
        <v>44</v>
      </c>
      <c r="C18" s="10" t="s">
        <v>51</v>
      </c>
      <c r="D18" s="10" t="s">
        <v>52</v>
      </c>
      <c r="E18" s="11" t="n">
        <v>-220</v>
      </c>
      <c r="F18" s="10" t="n">
        <v>2240</v>
      </c>
    </row>
    <row r="19" customFormat="false" ht="15" hidden="false" customHeight="false" outlineLevel="0" collapsed="false">
      <c r="B19" s="10" t="s">
        <v>39</v>
      </c>
      <c r="C19" s="10" t="s">
        <v>40</v>
      </c>
      <c r="D19" s="10" t="s">
        <v>42</v>
      </c>
      <c r="E19" s="11" t="n">
        <v>-192</v>
      </c>
      <c r="F19" s="10" t="n">
        <v>192</v>
      </c>
    </row>
    <row r="20" customFormat="false" ht="15" hidden="false" customHeight="false" outlineLevel="0" collapsed="false">
      <c r="B20" s="10" t="s">
        <v>39</v>
      </c>
      <c r="C20" s="10" t="s">
        <v>53</v>
      </c>
      <c r="D20" s="10" t="s">
        <v>50</v>
      </c>
      <c r="E20" s="11" t="n">
        <v>-176</v>
      </c>
      <c r="F20" s="10" t="n">
        <v>2016</v>
      </c>
    </row>
    <row r="21" customFormat="false" ht="15" hidden="false" customHeight="false" outlineLevel="0" collapsed="false">
      <c r="B21" s="10" t="s">
        <v>54</v>
      </c>
      <c r="C21" s="10" t="s">
        <v>54</v>
      </c>
      <c r="D21" s="10" t="s">
        <v>38</v>
      </c>
      <c r="E21" s="11" t="n">
        <v>-168</v>
      </c>
      <c r="F21" s="10" t="n">
        <v>2016</v>
      </c>
    </row>
    <row r="22" customFormat="false" ht="15" hidden="false" customHeight="false" outlineLevel="0" collapsed="false">
      <c r="B22" s="10" t="s">
        <v>36</v>
      </c>
      <c r="C22" s="10" t="s">
        <v>55</v>
      </c>
      <c r="D22" s="10" t="s">
        <v>56</v>
      </c>
      <c r="E22" s="11" t="n">
        <v>-160</v>
      </c>
      <c r="F22" s="10" t="n">
        <v>160</v>
      </c>
    </row>
    <row r="23" customFormat="false" ht="15" hidden="false" customHeight="false" outlineLevel="0" collapsed="false">
      <c r="B23" s="10" t="s">
        <v>36</v>
      </c>
      <c r="C23" s="10" t="s">
        <v>55</v>
      </c>
      <c r="D23" s="10" t="s">
        <v>52</v>
      </c>
      <c r="E23" s="11" t="n">
        <v>-140</v>
      </c>
      <c r="F23" s="10" t="n">
        <v>140</v>
      </c>
    </row>
    <row r="24" customFormat="false" ht="15" hidden="false" customHeight="false" outlineLevel="0" collapsed="false">
      <c r="B24" s="10" t="s">
        <v>57</v>
      </c>
      <c r="C24" s="10" t="s">
        <v>58</v>
      </c>
      <c r="D24" s="10" t="s">
        <v>38</v>
      </c>
      <c r="E24" s="11" t="n">
        <v>-100</v>
      </c>
      <c r="F24" s="10" t="n">
        <v>100</v>
      </c>
    </row>
    <row r="25" customFormat="false" ht="15" hidden="false" customHeight="false" outlineLevel="0" collapsed="false">
      <c r="B25" s="10" t="s">
        <v>54</v>
      </c>
      <c r="C25" s="10" t="s">
        <v>54</v>
      </c>
      <c r="D25" s="10" t="s">
        <v>59</v>
      </c>
      <c r="E25" s="11" t="n">
        <v>-96</v>
      </c>
      <c r="F25" s="10" t="n">
        <v>1308</v>
      </c>
    </row>
    <row r="26" customFormat="false" ht="15" hidden="false" customHeight="false" outlineLevel="0" collapsed="false">
      <c r="B26" s="10" t="s">
        <v>36</v>
      </c>
      <c r="C26" s="10" t="s">
        <v>37</v>
      </c>
      <c r="D26" s="10" t="s">
        <v>60</v>
      </c>
      <c r="E26" s="11" t="n">
        <v>-60</v>
      </c>
      <c r="F26" s="10" t="n">
        <v>60</v>
      </c>
    </row>
    <row r="27" customFormat="false" ht="15" hidden="false" customHeight="false" outlineLevel="0" collapsed="false">
      <c r="B27" s="10" t="s">
        <v>61</v>
      </c>
      <c r="C27" s="10" t="s">
        <v>61</v>
      </c>
      <c r="D27" s="10" t="s">
        <v>59</v>
      </c>
      <c r="E27" s="11" t="n">
        <v>-48</v>
      </c>
      <c r="F27" s="10" t="n">
        <v>924</v>
      </c>
    </row>
    <row r="28" customFormat="false" ht="15" hidden="false" customHeight="false" outlineLevel="0" collapsed="false">
      <c r="B28" s="10" t="s">
        <v>62</v>
      </c>
      <c r="C28" s="10" t="s">
        <v>62</v>
      </c>
      <c r="D28" s="10" t="s">
        <v>38</v>
      </c>
      <c r="E28" s="11" t="n">
        <v>-40</v>
      </c>
      <c r="F28" s="10" t="n">
        <v>40</v>
      </c>
    </row>
    <row r="29" customFormat="false" ht="15" hidden="false" customHeight="false" outlineLevel="0" collapsed="false">
      <c r="B29" s="10" t="s">
        <v>62</v>
      </c>
      <c r="C29" s="10" t="s">
        <v>62</v>
      </c>
      <c r="D29" s="10" t="s">
        <v>59</v>
      </c>
      <c r="E29" s="11" t="n">
        <v>-40</v>
      </c>
      <c r="F29" s="10" t="n">
        <v>40</v>
      </c>
    </row>
    <row r="30" customFormat="false" ht="15" hidden="false" customHeight="false" outlineLevel="0" collapsed="false">
      <c r="B30" s="10" t="s">
        <v>63</v>
      </c>
      <c r="C30" s="10" t="s">
        <v>64</v>
      </c>
      <c r="D30" s="10" t="s">
        <v>59</v>
      </c>
      <c r="E30" s="11" t="n">
        <v>-36</v>
      </c>
      <c r="F30" s="10" t="n">
        <v>36</v>
      </c>
    </row>
    <row r="31" customFormat="false" ht="15" hidden="false" customHeight="false" outlineLevel="0" collapsed="false">
      <c r="B31" s="10" t="s">
        <v>65</v>
      </c>
      <c r="C31" s="10" t="s">
        <v>66</v>
      </c>
      <c r="D31" s="10" t="s">
        <v>56</v>
      </c>
      <c r="E31" s="11" t="n">
        <v>-32</v>
      </c>
      <c r="F31" s="10" t="n">
        <v>32</v>
      </c>
    </row>
    <row r="32" customFormat="false" ht="15" hidden="false" customHeight="false" outlineLevel="0" collapsed="false">
      <c r="B32" s="10" t="s">
        <v>67</v>
      </c>
      <c r="C32" s="10"/>
      <c r="D32" s="10" t="s">
        <v>68</v>
      </c>
      <c r="E32" s="11" t="n">
        <v>-24</v>
      </c>
      <c r="F32" s="10" t="n">
        <v>24</v>
      </c>
    </row>
    <row r="33" customFormat="false" ht="15" hidden="false" customHeight="false" outlineLevel="0" collapsed="false">
      <c r="B33" s="10" t="s">
        <v>48</v>
      </c>
      <c r="C33" s="10" t="s">
        <v>69</v>
      </c>
      <c r="D33" s="10" t="s">
        <v>59</v>
      </c>
      <c r="E33" s="11" t="n">
        <v>-20</v>
      </c>
      <c r="F33" s="10" t="n">
        <v>3520</v>
      </c>
    </row>
    <row r="34" customFormat="false" ht="15" hidden="false" customHeight="false" outlineLevel="0" collapsed="false">
      <c r="B34" s="10" t="s">
        <v>70</v>
      </c>
      <c r="C34" s="10" t="s">
        <v>71</v>
      </c>
      <c r="D34" s="10" t="s">
        <v>72</v>
      </c>
      <c r="E34" s="11" t="n">
        <v>-20</v>
      </c>
      <c r="F34" s="10" t="n">
        <v>40</v>
      </c>
    </row>
    <row r="35" customFormat="false" ht="15" hidden="false" customHeight="false" outlineLevel="0" collapsed="false">
      <c r="B35" s="10" t="s">
        <v>36</v>
      </c>
      <c r="C35" s="10" t="s">
        <v>55</v>
      </c>
      <c r="D35" s="10" t="s">
        <v>73</v>
      </c>
      <c r="E35" s="11" t="n">
        <v>-20</v>
      </c>
      <c r="F35" s="10" t="n">
        <v>20</v>
      </c>
    </row>
    <row r="36" customFormat="false" ht="15" hidden="false" customHeight="false" outlineLevel="0" collapsed="false">
      <c r="B36" s="10" t="s">
        <v>65</v>
      </c>
      <c r="C36" s="10" t="s">
        <v>66</v>
      </c>
      <c r="D36" s="10" t="s">
        <v>74</v>
      </c>
      <c r="E36" s="11" t="n">
        <v>-16</v>
      </c>
      <c r="F36" s="10" t="n">
        <v>16</v>
      </c>
    </row>
    <row r="37" customFormat="false" ht="15" hidden="false" customHeight="false" outlineLevel="0" collapsed="false">
      <c r="B37" s="10" t="s">
        <v>61</v>
      </c>
      <c r="C37" s="10" t="s">
        <v>61</v>
      </c>
      <c r="D37" s="10" t="s">
        <v>56</v>
      </c>
      <c r="E37" s="11" t="n">
        <v>-12</v>
      </c>
      <c r="F37" s="10" t="n">
        <v>12</v>
      </c>
    </row>
    <row r="38" customFormat="false" ht="15" hidden="false" customHeight="false" outlineLevel="0" collapsed="false">
      <c r="B38" s="10" t="s">
        <v>61</v>
      </c>
      <c r="C38" s="10" t="s">
        <v>61</v>
      </c>
      <c r="D38" s="10" t="s">
        <v>75</v>
      </c>
      <c r="E38" s="11" t="n">
        <v>-12</v>
      </c>
      <c r="F38" s="10" t="n">
        <v>528</v>
      </c>
    </row>
    <row r="41" customFormat="false" ht="15" hidden="false" customHeight="false" outlineLevel="0" collapsed="false">
      <c r="B41" s="8" t="s">
        <v>76</v>
      </c>
    </row>
    <row r="42" customFormat="false" ht="15" hidden="false" customHeight="false" outlineLevel="0" collapsed="false">
      <c r="B42" s="9" t="s">
        <v>31</v>
      </c>
      <c r="C42" s="9" t="s">
        <v>32</v>
      </c>
      <c r="D42" s="9" t="s">
        <v>33</v>
      </c>
      <c r="E42" s="9" t="s">
        <v>34</v>
      </c>
      <c r="F42" s="9" t="s">
        <v>77</v>
      </c>
    </row>
    <row r="43" customFormat="false" ht="15" hidden="false" customHeight="false" outlineLevel="0" collapsed="false">
      <c r="B43" s="10" t="s">
        <v>39</v>
      </c>
      <c r="C43" s="10" t="s">
        <v>78</v>
      </c>
      <c r="D43" s="10" t="s">
        <v>79</v>
      </c>
      <c r="E43" s="10" t="n">
        <v>0</v>
      </c>
      <c r="F43" s="12" t="n">
        <v>0</v>
      </c>
    </row>
    <row r="44" customFormat="false" ht="15" hidden="false" customHeight="false" outlineLevel="0" collapsed="false">
      <c r="B44" s="10" t="s">
        <v>39</v>
      </c>
      <c r="C44" s="10" t="s">
        <v>53</v>
      </c>
      <c r="D44" s="10" t="s">
        <v>80</v>
      </c>
      <c r="E44" s="10" t="n">
        <v>0</v>
      </c>
      <c r="F44" s="12" t="n">
        <v>0</v>
      </c>
    </row>
    <row r="45" customFormat="false" ht="15" hidden="false" customHeight="false" outlineLevel="0" collapsed="false">
      <c r="B45" s="10" t="s">
        <v>39</v>
      </c>
      <c r="C45" s="10" t="s">
        <v>81</v>
      </c>
      <c r="D45" s="10" t="s">
        <v>80</v>
      </c>
      <c r="E45" s="10" t="n">
        <v>0</v>
      </c>
      <c r="F45" s="12" t="n">
        <v>0</v>
      </c>
    </row>
    <row r="46" customFormat="false" ht="15" hidden="false" customHeight="false" outlineLevel="0" collapsed="false">
      <c r="B46" s="10" t="s">
        <v>61</v>
      </c>
      <c r="C46" s="10" t="s">
        <v>61</v>
      </c>
      <c r="D46" s="10" t="s">
        <v>82</v>
      </c>
      <c r="E46" s="10" t="n">
        <v>0</v>
      </c>
      <c r="F46" s="12" t="n">
        <v>0</v>
      </c>
    </row>
    <row r="47" customFormat="false" ht="15" hidden="false" customHeight="false" outlineLevel="0" collapsed="false">
      <c r="B47" s="10" t="s">
        <v>61</v>
      </c>
      <c r="C47" s="10" t="s">
        <v>61</v>
      </c>
      <c r="D47" s="10" t="s">
        <v>80</v>
      </c>
      <c r="E47" s="10" t="n">
        <v>0</v>
      </c>
      <c r="F47" s="12" t="n">
        <v>0</v>
      </c>
    </row>
    <row r="48" customFormat="false" ht="15" hidden="false" customHeight="false" outlineLevel="0" collapsed="false">
      <c r="B48" s="10" t="s">
        <v>83</v>
      </c>
      <c r="C48" s="10" t="s">
        <v>84</v>
      </c>
      <c r="D48" s="10" t="s">
        <v>85</v>
      </c>
      <c r="E48" s="10" t="n">
        <v>0</v>
      </c>
      <c r="F48" s="12" t="n">
        <v>0</v>
      </c>
    </row>
    <row r="49" customFormat="false" ht="15" hidden="false" customHeight="false" outlineLevel="0" collapsed="false">
      <c r="B49" s="10" t="s">
        <v>48</v>
      </c>
      <c r="C49" s="10" t="s">
        <v>49</v>
      </c>
      <c r="D49" s="10" t="s">
        <v>86</v>
      </c>
      <c r="E49" s="10" t="n">
        <v>0</v>
      </c>
      <c r="F49" s="12" t="n">
        <v>0</v>
      </c>
    </row>
    <row r="50" customFormat="false" ht="15" hidden="false" customHeight="false" outlineLevel="0" collapsed="false">
      <c r="B50" s="10" t="s">
        <v>65</v>
      </c>
      <c r="C50" s="10" t="s">
        <v>87</v>
      </c>
      <c r="D50" s="10" t="s">
        <v>38</v>
      </c>
      <c r="E50" s="10" t="n">
        <v>0</v>
      </c>
      <c r="F50" s="12" t="n">
        <v>0</v>
      </c>
    </row>
    <row r="51" customFormat="false" ht="15" hidden="false" customHeight="false" outlineLevel="0" collapsed="false">
      <c r="B51" s="10" t="s">
        <v>63</v>
      </c>
      <c r="C51" s="10" t="s">
        <v>64</v>
      </c>
      <c r="D51" s="10" t="s">
        <v>88</v>
      </c>
      <c r="E51" s="10" t="n">
        <v>0</v>
      </c>
      <c r="F51" s="12" t="n">
        <v>0</v>
      </c>
    </row>
    <row r="52" customFormat="false" ht="15" hidden="false" customHeight="false" outlineLevel="0" collapsed="false">
      <c r="B52" s="10" t="s">
        <v>89</v>
      </c>
      <c r="C52" s="10" t="s">
        <v>90</v>
      </c>
      <c r="D52" s="10" t="s">
        <v>88</v>
      </c>
      <c r="E52" s="10" t="n">
        <v>0</v>
      </c>
      <c r="F52" s="12" t="n">
        <v>0</v>
      </c>
    </row>
    <row r="53" customFormat="false" ht="15" hidden="false" customHeight="false" outlineLevel="0" collapsed="false">
      <c r="B53" s="10" t="s">
        <v>62</v>
      </c>
      <c r="C53" s="10" t="s">
        <v>62</v>
      </c>
      <c r="D53" s="10" t="s">
        <v>91</v>
      </c>
      <c r="E53" s="10" t="n">
        <v>0</v>
      </c>
      <c r="F53" s="12" t="n">
        <v>0</v>
      </c>
    </row>
    <row r="54" customFormat="false" ht="15" hidden="false" customHeight="false" outlineLevel="0" collapsed="false">
      <c r="B54" s="10" t="s">
        <v>92</v>
      </c>
      <c r="C54" s="10" t="s">
        <v>93</v>
      </c>
      <c r="D54" s="10" t="s">
        <v>88</v>
      </c>
      <c r="E54" s="10" t="n">
        <v>0</v>
      </c>
      <c r="F54" s="12" t="n">
        <v>0</v>
      </c>
    </row>
    <row r="55" customFormat="false" ht="15" hidden="false" customHeight="false" outlineLevel="0" collapsed="false">
      <c r="B55" s="10" t="s">
        <v>61</v>
      </c>
      <c r="C55" s="10" t="s">
        <v>61</v>
      </c>
      <c r="D55" s="10" t="s">
        <v>38</v>
      </c>
      <c r="E55" s="10" t="n">
        <v>12</v>
      </c>
      <c r="F55" s="12" t="n">
        <v>0.01</v>
      </c>
    </row>
    <row r="56" customFormat="false" ht="15" hidden="false" customHeight="false" outlineLevel="0" collapsed="false">
      <c r="B56" s="10" t="s">
        <v>94</v>
      </c>
      <c r="C56" s="10" t="s">
        <v>95</v>
      </c>
      <c r="D56" s="10" t="s">
        <v>73</v>
      </c>
      <c r="E56" s="10" t="n">
        <v>20</v>
      </c>
      <c r="F56" s="12" t="n">
        <v>0.03</v>
      </c>
    </row>
    <row r="57" customFormat="false" ht="15" hidden="false" customHeight="false" outlineLevel="0" collapsed="false">
      <c r="B57" s="10" t="s">
        <v>94</v>
      </c>
      <c r="C57" s="10" t="s">
        <v>95</v>
      </c>
      <c r="D57" s="10" t="s">
        <v>96</v>
      </c>
      <c r="E57" s="10" t="n">
        <v>20</v>
      </c>
      <c r="F57" s="12" t="n">
        <v>0.03</v>
      </c>
    </row>
    <row r="58" customFormat="false" ht="15" hidden="false" customHeight="false" outlineLevel="0" collapsed="false">
      <c r="B58" s="10" t="s">
        <v>83</v>
      </c>
      <c r="C58" s="10" t="s">
        <v>84</v>
      </c>
      <c r="D58" s="10" t="s">
        <v>97</v>
      </c>
      <c r="E58" s="10" t="n">
        <v>224</v>
      </c>
      <c r="F58" s="12" t="n">
        <v>0.07</v>
      </c>
    </row>
    <row r="59" customFormat="false" ht="15" hidden="false" customHeight="false" outlineLevel="0" collapsed="false">
      <c r="B59" s="10" t="s">
        <v>48</v>
      </c>
      <c r="C59" s="10" t="s">
        <v>69</v>
      </c>
      <c r="D59" s="10" t="s">
        <v>38</v>
      </c>
      <c r="E59" s="10" t="n">
        <v>180</v>
      </c>
      <c r="F59" s="12" t="n">
        <v>0.07</v>
      </c>
    </row>
    <row r="60" customFormat="false" ht="15" hidden="false" customHeight="false" outlineLevel="0" collapsed="false">
      <c r="B60" s="10" t="s">
        <v>70</v>
      </c>
      <c r="C60" s="10" t="s">
        <v>71</v>
      </c>
      <c r="D60" s="10" t="s">
        <v>98</v>
      </c>
      <c r="E60" s="10" t="n">
        <v>60</v>
      </c>
      <c r="F60" s="12" t="n">
        <v>0.07</v>
      </c>
    </row>
    <row r="61" customFormat="false" ht="15" hidden="false" customHeight="false" outlineLevel="0" collapsed="false">
      <c r="B61" s="10" t="s">
        <v>44</v>
      </c>
      <c r="C61" s="10" t="s">
        <v>51</v>
      </c>
      <c r="D61" s="10" t="s">
        <v>99</v>
      </c>
      <c r="E61" s="10" t="n">
        <v>820</v>
      </c>
      <c r="F61" s="12" t="n">
        <v>0.12</v>
      </c>
    </row>
    <row r="62" customFormat="false" ht="15" hidden="false" customHeight="false" outlineLevel="0" collapsed="false">
      <c r="B62" s="10" t="s">
        <v>63</v>
      </c>
      <c r="C62" s="10" t="s">
        <v>64</v>
      </c>
      <c r="D62" s="10" t="s">
        <v>38</v>
      </c>
      <c r="E62" s="10" t="n">
        <v>228</v>
      </c>
      <c r="F62" s="12" t="n">
        <v>0.13</v>
      </c>
    </row>
    <row r="63" customFormat="false" ht="15" hidden="false" customHeight="false" outlineLevel="0" collapsed="false">
      <c r="B63" s="10" t="s">
        <v>70</v>
      </c>
      <c r="C63" s="10" t="s">
        <v>71</v>
      </c>
      <c r="D63" s="10" t="s">
        <v>99</v>
      </c>
      <c r="E63" s="10" t="n">
        <v>60</v>
      </c>
      <c r="F63" s="12" t="n">
        <v>0.15</v>
      </c>
    </row>
    <row r="64" customFormat="false" ht="15" hidden="false" customHeight="false" outlineLevel="0" collapsed="false">
      <c r="B64" s="10" t="s">
        <v>83</v>
      </c>
      <c r="C64" s="10" t="s">
        <v>84</v>
      </c>
      <c r="D64" s="10" t="s">
        <v>100</v>
      </c>
      <c r="E64" s="10" t="n">
        <v>400</v>
      </c>
      <c r="F64" s="12" t="n">
        <v>0.16</v>
      </c>
    </row>
    <row r="65" customFormat="false" ht="15" hidden="false" customHeight="false" outlineLevel="0" collapsed="false">
      <c r="B65" s="10" t="s">
        <v>36</v>
      </c>
      <c r="C65" s="10" t="s">
        <v>37</v>
      </c>
      <c r="D65" s="10" t="s">
        <v>101</v>
      </c>
      <c r="E65" s="10" t="n">
        <v>744</v>
      </c>
      <c r="F65" s="12" t="n">
        <v>0.16</v>
      </c>
    </row>
    <row r="66" customFormat="false" ht="15" hidden="false" customHeight="false" outlineLevel="0" collapsed="false">
      <c r="B66" s="10" t="s">
        <v>36</v>
      </c>
      <c r="C66" s="10" t="s">
        <v>37</v>
      </c>
      <c r="D66" s="10" t="s">
        <v>102</v>
      </c>
      <c r="E66" s="10" t="n">
        <v>758</v>
      </c>
      <c r="F66" s="12" t="n">
        <v>0.16</v>
      </c>
    </row>
    <row r="67" customFormat="false" ht="15" hidden="false" customHeight="false" outlineLevel="0" collapsed="false">
      <c r="B67" s="10" t="s">
        <v>61</v>
      </c>
      <c r="C67" s="10" t="s">
        <v>61</v>
      </c>
      <c r="D67" s="10" t="s">
        <v>103</v>
      </c>
      <c r="E67" s="10" t="n">
        <v>180</v>
      </c>
      <c r="F67" s="12" t="n">
        <v>0.17</v>
      </c>
    </row>
    <row r="68" customFormat="false" ht="15" hidden="false" customHeight="false" outlineLevel="0" collapsed="false">
      <c r="B68" s="10" t="s">
        <v>36</v>
      </c>
      <c r="C68" s="10" t="s">
        <v>37</v>
      </c>
      <c r="D68" s="10" t="s">
        <v>104</v>
      </c>
      <c r="E68" s="10" t="n">
        <v>796</v>
      </c>
      <c r="F68" s="12" t="n">
        <v>0.17</v>
      </c>
    </row>
    <row r="69" customFormat="false" ht="15" hidden="false" customHeight="false" outlineLevel="0" collapsed="false">
      <c r="B69" s="10" t="s">
        <v>65</v>
      </c>
      <c r="C69" s="10" t="s">
        <v>87</v>
      </c>
      <c r="D69" s="10" t="s">
        <v>105</v>
      </c>
      <c r="E69" s="10" t="n">
        <v>144</v>
      </c>
      <c r="F69" s="12" t="n">
        <v>0.18</v>
      </c>
    </row>
    <row r="70" customFormat="false" ht="15" hidden="false" customHeight="false" outlineLevel="0" collapsed="false">
      <c r="B70" s="10" t="s">
        <v>61</v>
      </c>
      <c r="C70" s="10" t="s">
        <v>61</v>
      </c>
      <c r="D70" s="10" t="s">
        <v>101</v>
      </c>
      <c r="E70" s="10" t="n">
        <v>900</v>
      </c>
      <c r="F70" s="12" t="n">
        <v>0.22</v>
      </c>
    </row>
    <row r="71" customFormat="false" ht="15" hidden="false" customHeight="false" outlineLevel="0" collapsed="false">
      <c r="B71" s="10" t="s">
        <v>61</v>
      </c>
      <c r="C71" s="10" t="s">
        <v>61</v>
      </c>
      <c r="D71" s="10" t="s">
        <v>102</v>
      </c>
      <c r="E71" s="10" t="n">
        <v>925</v>
      </c>
      <c r="F71" s="12" t="n">
        <v>0.23</v>
      </c>
    </row>
    <row r="72" customFormat="false" ht="15" hidden="false" customHeight="false" outlineLevel="0" collapsed="false">
      <c r="B72" s="10" t="s">
        <v>61</v>
      </c>
      <c r="C72" s="10" t="s">
        <v>61</v>
      </c>
      <c r="D72" s="10" t="s">
        <v>104</v>
      </c>
      <c r="E72" s="10" t="n">
        <v>969</v>
      </c>
      <c r="F72" s="12" t="n">
        <v>0.24</v>
      </c>
    </row>
    <row r="73" customFormat="false" ht="15" hidden="false" customHeight="false" outlineLevel="0" collapsed="false">
      <c r="B73" s="10" t="s">
        <v>61</v>
      </c>
      <c r="C73" s="10" t="s">
        <v>61</v>
      </c>
      <c r="D73" s="10" t="s">
        <v>52</v>
      </c>
      <c r="E73" s="10" t="n">
        <v>12</v>
      </c>
      <c r="F73" s="12" t="n">
        <v>0.25</v>
      </c>
    </row>
    <row r="74" customFormat="false" ht="15" hidden="false" customHeight="false" outlineLevel="0" collapsed="false">
      <c r="B74" s="10" t="s">
        <v>89</v>
      </c>
      <c r="C74" s="10" t="s">
        <v>106</v>
      </c>
      <c r="D74" s="10" t="s">
        <v>59</v>
      </c>
      <c r="E74" s="10" t="n">
        <v>24</v>
      </c>
      <c r="F74" s="12" t="n">
        <v>0.25</v>
      </c>
    </row>
    <row r="75" customFormat="false" ht="15" hidden="false" customHeight="false" outlineLevel="0" collapsed="false">
      <c r="B75" s="10" t="s">
        <v>70</v>
      </c>
      <c r="C75" s="10" t="s">
        <v>71</v>
      </c>
      <c r="D75" s="10" t="s">
        <v>107</v>
      </c>
      <c r="E75" s="10" t="n">
        <v>320</v>
      </c>
      <c r="F75" s="12" t="n">
        <v>0.29</v>
      </c>
    </row>
    <row r="76" customFormat="false" ht="15" hidden="false" customHeight="false" outlineLevel="0" collapsed="false">
      <c r="B76" s="10" t="s">
        <v>39</v>
      </c>
      <c r="C76" s="10" t="s">
        <v>46</v>
      </c>
      <c r="D76" s="10" t="s">
        <v>101</v>
      </c>
      <c r="E76" s="10" t="n">
        <v>9440</v>
      </c>
      <c r="F76" s="12" t="n">
        <v>0.3</v>
      </c>
    </row>
    <row r="77" customFormat="false" ht="15" hidden="false" customHeight="false" outlineLevel="0" collapsed="false">
      <c r="B77" s="10" t="s">
        <v>39</v>
      </c>
      <c r="C77" s="10" t="s">
        <v>46</v>
      </c>
      <c r="D77" s="10" t="s">
        <v>102</v>
      </c>
      <c r="E77" s="10" t="n">
        <v>9477</v>
      </c>
      <c r="F77" s="12" t="n">
        <v>0.3</v>
      </c>
    </row>
    <row r="78" customFormat="false" ht="15" hidden="false" customHeight="false" outlineLevel="0" collapsed="false">
      <c r="B78" s="10" t="s">
        <v>39</v>
      </c>
      <c r="C78" s="10" t="s">
        <v>46</v>
      </c>
      <c r="D78" s="10" t="s">
        <v>104</v>
      </c>
      <c r="E78" s="10" t="n">
        <v>9914</v>
      </c>
      <c r="F78" s="12" t="n">
        <v>0.32</v>
      </c>
    </row>
    <row r="79" customFormat="false" ht="15" hidden="false" customHeight="false" outlineLevel="0" collapsed="false">
      <c r="B79" s="10" t="s">
        <v>83</v>
      </c>
      <c r="C79" s="10" t="s">
        <v>84</v>
      </c>
      <c r="D79" s="10" t="s">
        <v>59</v>
      </c>
      <c r="E79" s="10" t="n">
        <v>368</v>
      </c>
      <c r="F79" s="12" t="n">
        <v>0.35</v>
      </c>
    </row>
    <row r="80" customFormat="false" ht="15" hidden="false" customHeight="false" outlineLevel="0" collapsed="false">
      <c r="B80" s="10" t="s">
        <v>39</v>
      </c>
      <c r="C80" s="10" t="s">
        <v>40</v>
      </c>
      <c r="D80" s="10" t="s">
        <v>38</v>
      </c>
      <c r="E80" s="10" t="n">
        <v>1504</v>
      </c>
      <c r="F80" s="12" t="n">
        <v>0.37</v>
      </c>
    </row>
    <row r="81" customFormat="false" ht="15" hidden="false" customHeight="false" outlineLevel="0" collapsed="false">
      <c r="B81" s="10" t="s">
        <v>94</v>
      </c>
      <c r="C81" s="10" t="s">
        <v>95</v>
      </c>
      <c r="D81" s="10" t="s">
        <v>108</v>
      </c>
      <c r="E81" s="10" t="n">
        <v>360</v>
      </c>
      <c r="F81" s="12" t="n">
        <v>0.37</v>
      </c>
    </row>
    <row r="82" customFormat="false" ht="15" hidden="false" customHeight="false" outlineLevel="0" collapsed="false">
      <c r="B82" s="10" t="s">
        <v>109</v>
      </c>
      <c r="C82" s="10" t="s">
        <v>110</v>
      </c>
      <c r="D82" s="10" t="s">
        <v>111</v>
      </c>
      <c r="E82" s="10" t="n">
        <v>96</v>
      </c>
      <c r="F82" s="12" t="n">
        <v>0.38</v>
      </c>
    </row>
    <row r="83" customFormat="false" ht="15" hidden="false" customHeight="false" outlineLevel="0" collapsed="false">
      <c r="B83" s="13" t="s">
        <v>112</v>
      </c>
    </row>
  </sheetData>
  <mergeCells count="8"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20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14" t="s">
        <v>113</v>
      </c>
      <c r="B1" s="14"/>
      <c r="C1" s="14"/>
      <c r="D1" s="14"/>
      <c r="E1" s="14"/>
      <c r="F1" s="14"/>
      <c r="G1" s="14"/>
      <c r="H1" s="14"/>
      <c r="I1" s="14"/>
    </row>
    <row r="2" customFormat="false" ht="23.85" hidden="false" customHeight="false" outlineLevel="0" collapsed="false">
      <c r="A2" s="9" t="s">
        <v>31</v>
      </c>
      <c r="B2" s="9" t="s">
        <v>32</v>
      </c>
      <c r="C2" s="9" t="s">
        <v>33</v>
      </c>
      <c r="D2" s="9" t="s">
        <v>114</v>
      </c>
      <c r="E2" s="9" t="s">
        <v>35</v>
      </c>
      <c r="F2" s="9" t="s">
        <v>34</v>
      </c>
      <c r="G2" s="9" t="s">
        <v>77</v>
      </c>
      <c r="H2" s="9" t="s">
        <v>115</v>
      </c>
      <c r="I2" s="9" t="s">
        <v>116</v>
      </c>
    </row>
    <row r="3" customFormat="false" ht="15" hidden="false" customHeight="false" outlineLevel="0" collapsed="false">
      <c r="A3" s="15" t="s">
        <v>39</v>
      </c>
      <c r="B3" s="15" t="s">
        <v>78</v>
      </c>
      <c r="C3" s="15" t="s">
        <v>79</v>
      </c>
      <c r="D3" s="15" t="n">
        <v>976</v>
      </c>
      <c r="E3" s="15" t="n">
        <v>976</v>
      </c>
      <c r="F3" s="15" t="n">
        <v>0</v>
      </c>
      <c r="G3" s="10" t="n">
        <f aca="false">IF(OR(E3="",E3=0),"n/a",IF(F3&lt;0,"n/a",ROUND(F3/E3,1)))</f>
        <v>0</v>
      </c>
      <c r="H3" s="10" t="str">
        <f aca="false">IF(F3&lt;0,"Negative (check entry)",IF(OR(E3="",E3=0),IF(F3=0,"No Activity","OK"),IF(F3/E3&lt;0.5,"Low Stock",IF(F3/E3&gt;3,"Overstock","OK"))))</f>
        <v>Low Stock</v>
      </c>
      <c r="I3" s="16"/>
    </row>
    <row r="4" customFormat="false" ht="15" hidden="false" customHeight="false" outlineLevel="0" collapsed="false">
      <c r="A4" s="15" t="s">
        <v>39</v>
      </c>
      <c r="B4" s="15" t="s">
        <v>78</v>
      </c>
      <c r="C4" s="15" t="s">
        <v>117</v>
      </c>
      <c r="D4" s="15" t="n">
        <v>0</v>
      </c>
      <c r="E4" s="15" t="n">
        <v>0</v>
      </c>
      <c r="F4" s="15" t="n">
        <v>0</v>
      </c>
      <c r="G4" s="10" t="str">
        <f aca="false">IF(OR(E4="",E4=0),"n/a",IF(F4&lt;0,"n/a",ROUND(F4/E4,1)))</f>
        <v>n/a</v>
      </c>
      <c r="H4" s="10" t="str">
        <f aca="false">IF(F4&lt;0,"Negative (check entry)",IF(OR(E4="",E4=0),IF(F4=0,"No Activity","OK"),IF(F4/E4&lt;0.5,"Low Stock",IF(F4/E4&gt;3,"Overstock","OK"))))</f>
        <v>No Activity</v>
      </c>
      <c r="I4" s="16"/>
    </row>
    <row r="5" customFormat="false" ht="15" hidden="false" customHeight="false" outlineLevel="0" collapsed="false">
      <c r="A5" s="15" t="s">
        <v>39</v>
      </c>
      <c r="B5" s="15" t="s">
        <v>78</v>
      </c>
      <c r="C5" s="15" t="s">
        <v>118</v>
      </c>
      <c r="D5" s="15" t="n">
        <v>1264</v>
      </c>
      <c r="E5" s="15" t="n">
        <v>32</v>
      </c>
      <c r="F5" s="15" t="n">
        <v>1232</v>
      </c>
      <c r="G5" s="10" t="n">
        <f aca="false">IF(OR(E5="",E5=0),"n/a",IF(F5&lt;0,"n/a",ROUND(F5/E5,1)))</f>
        <v>38.5</v>
      </c>
      <c r="H5" s="10" t="str">
        <f aca="false">IF(F5&lt;0,"Negative (check entry)",IF(OR(E5="",E5=0),IF(F5=0,"No Activity","OK"),IF(F5/E5&lt;0.5,"Low Stock",IF(F5/E5&gt;3,"Overstock","OK"))))</f>
        <v>Overstock</v>
      </c>
      <c r="I5" s="16"/>
    </row>
    <row r="6" customFormat="false" ht="15" hidden="false" customHeight="false" outlineLevel="0" collapsed="false">
      <c r="A6" s="15" t="s">
        <v>39</v>
      </c>
      <c r="B6" s="15" t="s">
        <v>78</v>
      </c>
      <c r="C6" s="15" t="s">
        <v>59</v>
      </c>
      <c r="D6" s="15" t="n">
        <v>0</v>
      </c>
      <c r="E6" s="15" t="n">
        <v>0</v>
      </c>
      <c r="F6" s="15" t="n">
        <v>0</v>
      </c>
      <c r="G6" s="10" t="str">
        <f aca="false">IF(OR(E6="",E6=0),"n/a",IF(F6&lt;0,"n/a",ROUND(F6/E6,1)))</f>
        <v>n/a</v>
      </c>
      <c r="H6" s="10" t="str">
        <f aca="false">IF(F6&lt;0,"Negative (check entry)",IF(OR(E6="",E6=0),IF(F6=0,"No Activity","OK"),IF(F6/E6&lt;0.5,"Low Stock",IF(F6/E6&gt;3,"Overstock","OK"))))</f>
        <v>No Activity</v>
      </c>
      <c r="I6" s="16"/>
    </row>
    <row r="7" customFormat="false" ht="15" hidden="false" customHeight="false" outlineLevel="0" collapsed="false">
      <c r="A7" s="15" t="s">
        <v>39</v>
      </c>
      <c r="B7" s="15" t="s">
        <v>78</v>
      </c>
      <c r="C7" s="15" t="s">
        <v>119</v>
      </c>
      <c r="D7" s="15" t="n">
        <v>768</v>
      </c>
      <c r="E7" s="15" t="n">
        <v>0</v>
      </c>
      <c r="F7" s="15" t="n">
        <v>768</v>
      </c>
      <c r="G7" s="10" t="str">
        <f aca="false">IF(OR(E7="",E7=0),"n/a",IF(F7&lt;0,"n/a",ROUND(F7/E7,1)))</f>
        <v>n/a</v>
      </c>
      <c r="H7" s="10" t="str">
        <f aca="false">IF(F7&lt;0,"Negative (check entry)",IF(OR(E7="",E7=0),IF(F7=0,"No Activity","OK"),IF(F7/E7&lt;0.5,"Low Stock",IF(F7/E7&gt;3,"Overstock","OK"))))</f>
        <v>OK</v>
      </c>
      <c r="I7" s="16"/>
    </row>
    <row r="8" customFormat="false" ht="15" hidden="false" customHeight="false" outlineLevel="0" collapsed="false">
      <c r="A8" s="15" t="s">
        <v>39</v>
      </c>
      <c r="B8" s="15" t="s">
        <v>78</v>
      </c>
      <c r="C8" s="15" t="s">
        <v>120</v>
      </c>
      <c r="D8" s="15" t="n">
        <v>0</v>
      </c>
      <c r="E8" s="15" t="n">
        <v>0</v>
      </c>
      <c r="F8" s="15" t="n">
        <v>0</v>
      </c>
      <c r="G8" s="10" t="str">
        <f aca="false">IF(OR(E8="",E8=0),"n/a",IF(F8&lt;0,"n/a",ROUND(F8/E8,1)))</f>
        <v>n/a</v>
      </c>
      <c r="H8" s="10" t="str">
        <f aca="false">IF(F8&lt;0,"Negative (check entry)",IF(OR(E8="",E8=0),IF(F8=0,"No Activity","OK"),IF(F8/E8&lt;0.5,"Low Stock",IF(F8/E8&gt;3,"Overstock","OK"))))</f>
        <v>No Activity</v>
      </c>
      <c r="I8" s="16"/>
    </row>
    <row r="9" customFormat="false" ht="15" hidden="false" customHeight="false" outlineLevel="0" collapsed="false">
      <c r="A9" s="15" t="s">
        <v>39</v>
      </c>
      <c r="B9" s="15" t="s">
        <v>78</v>
      </c>
      <c r="C9" s="15" t="s">
        <v>80</v>
      </c>
      <c r="D9" s="15" t="n">
        <v>912</v>
      </c>
      <c r="E9" s="15" t="n">
        <v>496</v>
      </c>
      <c r="F9" s="15" t="n">
        <v>416</v>
      </c>
      <c r="G9" s="10" t="n">
        <f aca="false">IF(OR(E9="",E9=0),"n/a",IF(F9&lt;0,"n/a",ROUND(F9/E9,1)))</f>
        <v>0.8</v>
      </c>
      <c r="H9" s="10" t="str">
        <f aca="false">IF(F9&lt;0,"Negative (check entry)",IF(OR(E9="",E9=0),IF(F9=0,"No Activity","OK"),IF(F9/E9&lt;0.5,"Low Stock",IF(F9/E9&gt;3,"Overstock","OK"))))</f>
        <v>OK</v>
      </c>
      <c r="I9" s="16"/>
    </row>
    <row r="10" customFormat="false" ht="15" hidden="false" customHeight="false" outlineLevel="0" collapsed="false">
      <c r="A10" s="15" t="s">
        <v>39</v>
      </c>
      <c r="B10" s="15" t="s">
        <v>78</v>
      </c>
      <c r="C10" s="15" t="s">
        <v>38</v>
      </c>
      <c r="D10" s="15" t="n">
        <v>0</v>
      </c>
      <c r="E10" s="15" t="n">
        <v>0</v>
      </c>
      <c r="F10" s="15" t="n">
        <v>0</v>
      </c>
      <c r="G10" s="10" t="str">
        <f aca="false">IF(OR(E10="",E10=0),"n/a",IF(F10&lt;0,"n/a",ROUND(F10/E10,1)))</f>
        <v>n/a</v>
      </c>
      <c r="H10" s="10" t="str">
        <f aca="false">IF(F10&lt;0,"Negative (check entry)",IF(OR(E10="",E10=0),IF(F10=0,"No Activity","OK"),IF(F10/E10&lt;0.5,"Low Stock",IF(F10/E10&gt;3,"Overstock","OK"))))</f>
        <v>No Activity</v>
      </c>
      <c r="I10" s="16"/>
    </row>
    <row r="11" customFormat="false" ht="15" hidden="false" customHeight="false" outlineLevel="0" collapsed="false">
      <c r="A11" s="15" t="s">
        <v>39</v>
      </c>
      <c r="B11" s="15" t="s">
        <v>121</v>
      </c>
      <c r="C11" s="15" t="s">
        <v>79</v>
      </c>
      <c r="D11" s="15" t="n">
        <v>0</v>
      </c>
      <c r="E11" s="15" t="n">
        <v>0</v>
      </c>
      <c r="F11" s="15" t="n">
        <v>0</v>
      </c>
      <c r="G11" s="10" t="str">
        <f aca="false">IF(OR(E11="",E11=0),"n/a",IF(F11&lt;0,"n/a",ROUND(F11/E11,1)))</f>
        <v>n/a</v>
      </c>
      <c r="H11" s="10" t="str">
        <f aca="false">IF(F11&lt;0,"Negative (check entry)",IF(OR(E11="",E11=0),IF(F11=0,"No Activity","OK"),IF(F11/E11&lt;0.5,"Low Stock",IF(F11/E11&gt;3,"Overstock","OK"))))</f>
        <v>No Activity</v>
      </c>
      <c r="I11" s="16"/>
    </row>
    <row r="12" customFormat="false" ht="15" hidden="false" customHeight="false" outlineLevel="0" collapsed="false">
      <c r="A12" s="15" t="s">
        <v>39</v>
      </c>
      <c r="B12" s="15" t="s">
        <v>121</v>
      </c>
      <c r="C12" s="15" t="s">
        <v>122</v>
      </c>
      <c r="D12" s="15" t="n">
        <v>0</v>
      </c>
      <c r="E12" s="15" t="n">
        <v>0</v>
      </c>
      <c r="F12" s="15" t="n">
        <v>0</v>
      </c>
      <c r="G12" s="10" t="str">
        <f aca="false">IF(OR(E12="",E12=0),"n/a",IF(F12&lt;0,"n/a",ROUND(F12/E12,1)))</f>
        <v>n/a</v>
      </c>
      <c r="H12" s="10" t="str">
        <f aca="false">IF(F12&lt;0,"Negative (check entry)",IF(OR(E12="",E12=0),IF(F12=0,"No Activity","OK"),IF(F12/E12&lt;0.5,"Low Stock",IF(F12/E12&gt;3,"Overstock","OK"))))</f>
        <v>No Activity</v>
      </c>
      <c r="I12" s="16"/>
    </row>
    <row r="13" customFormat="false" ht="15" hidden="false" customHeight="false" outlineLevel="0" collapsed="false">
      <c r="A13" s="15" t="s">
        <v>39</v>
      </c>
      <c r="B13" s="15" t="s">
        <v>121</v>
      </c>
      <c r="C13" s="15" t="s">
        <v>123</v>
      </c>
      <c r="D13" s="15" t="n">
        <v>0</v>
      </c>
      <c r="E13" s="15" t="n">
        <v>0</v>
      </c>
      <c r="F13" s="15" t="n">
        <v>0</v>
      </c>
      <c r="G13" s="10" t="str">
        <f aca="false">IF(OR(E13="",E13=0),"n/a",IF(F13&lt;0,"n/a",ROUND(F13/E13,1)))</f>
        <v>n/a</v>
      </c>
      <c r="H13" s="10" t="str">
        <f aca="false">IF(F13&lt;0,"Negative (check entry)",IF(OR(E13="",E13=0),IF(F13=0,"No Activity","OK"),IF(F13/E13&lt;0.5,"Low Stock",IF(F13/E13&gt;3,"Overstock","OK"))))</f>
        <v>No Activity</v>
      </c>
      <c r="I13" s="16"/>
    </row>
    <row r="14" customFormat="false" ht="15" hidden="false" customHeight="false" outlineLevel="0" collapsed="false">
      <c r="A14" s="15" t="s">
        <v>39</v>
      </c>
      <c r="B14" s="15" t="s">
        <v>121</v>
      </c>
      <c r="C14" s="15" t="s">
        <v>124</v>
      </c>
      <c r="D14" s="15" t="n">
        <v>0</v>
      </c>
      <c r="E14" s="15" t="n">
        <v>0</v>
      </c>
      <c r="F14" s="15" t="n">
        <v>0</v>
      </c>
      <c r="G14" s="10" t="str">
        <f aca="false">IF(OR(E14="",E14=0),"n/a",IF(F14&lt;0,"n/a",ROUND(F14/E14,1)))</f>
        <v>n/a</v>
      </c>
      <c r="H14" s="10" t="str">
        <f aca="false">IF(F14&lt;0,"Negative (check entry)",IF(OR(E14="",E14=0),IF(F14=0,"No Activity","OK"),IF(F14/E14&lt;0.5,"Low Stock",IF(F14/E14&gt;3,"Overstock","OK"))))</f>
        <v>No Activity</v>
      </c>
      <c r="I14" s="16"/>
    </row>
    <row r="15" customFormat="false" ht="15" hidden="false" customHeight="false" outlineLevel="0" collapsed="false">
      <c r="A15" s="15" t="s">
        <v>39</v>
      </c>
      <c r="B15" s="15" t="s">
        <v>121</v>
      </c>
      <c r="C15" s="15" t="s">
        <v>119</v>
      </c>
      <c r="D15" s="15" t="n">
        <v>0</v>
      </c>
      <c r="E15" s="15" t="n">
        <v>0</v>
      </c>
      <c r="F15" s="15" t="n">
        <v>0</v>
      </c>
      <c r="G15" s="10" t="str">
        <f aca="false">IF(OR(E15="",E15=0),"n/a",IF(F15&lt;0,"n/a",ROUND(F15/E15,1)))</f>
        <v>n/a</v>
      </c>
      <c r="H15" s="10" t="str">
        <f aca="false">IF(F15&lt;0,"Negative (check entry)",IF(OR(E15="",E15=0),IF(F15=0,"No Activity","OK"),IF(F15/E15&lt;0.5,"Low Stock",IF(F15/E15&gt;3,"Overstock","OK"))))</f>
        <v>No Activity</v>
      </c>
      <c r="I15" s="16"/>
    </row>
    <row r="16" customFormat="false" ht="15" hidden="false" customHeight="false" outlineLevel="0" collapsed="false">
      <c r="A16" s="15" t="s">
        <v>39</v>
      </c>
      <c r="B16" s="15" t="s">
        <v>121</v>
      </c>
      <c r="C16" s="15" t="s">
        <v>125</v>
      </c>
      <c r="D16" s="15" t="n">
        <v>0</v>
      </c>
      <c r="E16" s="15" t="n">
        <v>0</v>
      </c>
      <c r="F16" s="15" t="n">
        <v>0</v>
      </c>
      <c r="G16" s="10" t="str">
        <f aca="false">IF(OR(E16="",E16=0),"n/a",IF(F16&lt;0,"n/a",ROUND(F16/E16,1)))</f>
        <v>n/a</v>
      </c>
      <c r="H16" s="10" t="str">
        <f aca="false">IF(F16&lt;0,"Negative (check entry)",IF(OR(E16="",E16=0),IF(F16=0,"No Activity","OK"),IF(F16/E16&lt;0.5,"Low Stock",IF(F16/E16&gt;3,"Overstock","OK"))))</f>
        <v>No Activity</v>
      </c>
      <c r="I16" s="16"/>
    </row>
    <row r="17" customFormat="false" ht="15" hidden="false" customHeight="false" outlineLevel="0" collapsed="false">
      <c r="A17" s="15" t="s">
        <v>39</v>
      </c>
      <c r="B17" s="15" t="s">
        <v>121</v>
      </c>
      <c r="C17" s="15" t="s">
        <v>80</v>
      </c>
      <c r="D17" s="15" t="n">
        <v>0</v>
      </c>
      <c r="E17" s="15" t="n">
        <v>0</v>
      </c>
      <c r="F17" s="15" t="n">
        <v>0</v>
      </c>
      <c r="G17" s="10" t="str">
        <f aca="false">IF(OR(E17="",E17=0),"n/a",IF(F17&lt;0,"n/a",ROUND(F17/E17,1)))</f>
        <v>n/a</v>
      </c>
      <c r="H17" s="10" t="str">
        <f aca="false">IF(F17&lt;0,"Negative (check entry)",IF(OR(E17="",E17=0),IF(F17=0,"No Activity","OK"),IF(F17/E17&lt;0.5,"Low Stock",IF(F17/E17&gt;3,"Overstock","OK"))))</f>
        <v>No Activity</v>
      </c>
      <c r="I17" s="16"/>
    </row>
    <row r="18" customFormat="false" ht="15" hidden="false" customHeight="false" outlineLevel="0" collapsed="false">
      <c r="A18" s="15" t="s">
        <v>39</v>
      </c>
      <c r="B18" s="15" t="s">
        <v>121</v>
      </c>
      <c r="C18" s="15" t="s">
        <v>47</v>
      </c>
      <c r="D18" s="15" t="n">
        <v>0</v>
      </c>
      <c r="E18" s="15" t="n">
        <v>0</v>
      </c>
      <c r="F18" s="15" t="n">
        <v>0</v>
      </c>
      <c r="G18" s="10" t="str">
        <f aca="false">IF(OR(E18="",E18=0),"n/a",IF(F18&lt;0,"n/a",ROUND(F18/E18,1)))</f>
        <v>n/a</v>
      </c>
      <c r="H18" s="10" t="str">
        <f aca="false">IF(F18&lt;0,"Negative (check entry)",IF(OR(E18="",E18=0),IF(F18=0,"No Activity","OK"),IF(F18/E18&lt;0.5,"Low Stock",IF(F18/E18&gt;3,"Overstock","OK"))))</f>
        <v>No Activity</v>
      </c>
      <c r="I18" s="16"/>
    </row>
    <row r="19" customFormat="false" ht="15" hidden="false" customHeight="false" outlineLevel="0" collapsed="false">
      <c r="A19" s="15" t="s">
        <v>39</v>
      </c>
      <c r="B19" s="15" t="s">
        <v>126</v>
      </c>
      <c r="C19" s="15" t="s">
        <v>59</v>
      </c>
      <c r="D19" s="15" t="n">
        <v>0</v>
      </c>
      <c r="E19" s="15" t="n">
        <v>0</v>
      </c>
      <c r="F19" s="15" t="n">
        <v>0</v>
      </c>
      <c r="G19" s="10" t="str">
        <f aca="false">IF(OR(E19="",E19=0),"n/a",IF(F19&lt;0,"n/a",ROUND(F19/E19,1)))</f>
        <v>n/a</v>
      </c>
      <c r="H19" s="10" t="str">
        <f aca="false">IF(F19&lt;0,"Negative (check entry)",IF(OR(E19="",E19=0),IF(F19=0,"No Activity","OK"),IF(F19/E19&lt;0.5,"Low Stock",IF(F19/E19&gt;3,"Overstock","OK"))))</f>
        <v>No Activity</v>
      </c>
      <c r="I19" s="16"/>
    </row>
    <row r="20" customFormat="false" ht="15" hidden="false" customHeight="false" outlineLevel="0" collapsed="false">
      <c r="A20" s="15" t="s">
        <v>39</v>
      </c>
      <c r="B20" s="15" t="s">
        <v>126</v>
      </c>
      <c r="C20" s="15" t="s">
        <v>127</v>
      </c>
      <c r="D20" s="15" t="n">
        <v>128</v>
      </c>
      <c r="E20" s="15" t="n">
        <v>0</v>
      </c>
      <c r="F20" s="15" t="n">
        <v>128</v>
      </c>
      <c r="G20" s="10" t="str">
        <f aca="false">IF(OR(E20="",E20=0),"n/a",IF(F20&lt;0,"n/a",ROUND(F20/E20,1)))</f>
        <v>n/a</v>
      </c>
      <c r="H20" s="10" t="str">
        <f aca="false">IF(F20&lt;0,"Negative (check entry)",IF(OR(E20="",E20=0),IF(F20=0,"No Activity","OK"),IF(F20/E20&lt;0.5,"Low Stock",IF(F20/E20&gt;3,"Overstock","OK"))))</f>
        <v>OK</v>
      </c>
      <c r="I20" s="16"/>
    </row>
    <row r="21" customFormat="false" ht="15" hidden="false" customHeight="false" outlineLevel="0" collapsed="false">
      <c r="A21" s="15" t="s">
        <v>39</v>
      </c>
      <c r="B21" s="15" t="s">
        <v>126</v>
      </c>
      <c r="C21" s="15" t="s">
        <v>128</v>
      </c>
      <c r="D21" s="15" t="n">
        <v>0</v>
      </c>
      <c r="E21" s="15" t="n">
        <v>0</v>
      </c>
      <c r="F21" s="15" t="n">
        <v>0</v>
      </c>
      <c r="G21" s="10" t="str">
        <f aca="false">IF(OR(E21="",E21=0),"n/a",IF(F21&lt;0,"n/a",ROUND(F21/E21,1)))</f>
        <v>n/a</v>
      </c>
      <c r="H21" s="10" t="str">
        <f aca="false">IF(F21&lt;0,"Negative (check entry)",IF(OR(E21="",E21=0),IF(F21=0,"No Activity","OK"),IF(F21/E21&lt;0.5,"Low Stock",IF(F21/E21&gt;3,"Overstock","OK"))))</f>
        <v>No Activity</v>
      </c>
      <c r="I21" s="16"/>
    </row>
    <row r="22" customFormat="false" ht="15" hidden="false" customHeight="false" outlineLevel="0" collapsed="false">
      <c r="A22" s="15" t="s">
        <v>39</v>
      </c>
      <c r="B22" s="15" t="s">
        <v>126</v>
      </c>
      <c r="C22" s="15" t="s">
        <v>129</v>
      </c>
      <c r="D22" s="15" t="n">
        <v>0</v>
      </c>
      <c r="E22" s="15" t="n">
        <v>0</v>
      </c>
      <c r="F22" s="15" t="n">
        <v>0</v>
      </c>
      <c r="G22" s="10" t="str">
        <f aca="false">IF(OR(E22="",E22=0),"n/a",IF(F22&lt;0,"n/a",ROUND(F22/E22,1)))</f>
        <v>n/a</v>
      </c>
      <c r="H22" s="10" t="str">
        <f aca="false">IF(F22&lt;0,"Negative (check entry)",IF(OR(E22="",E22=0),IF(F22=0,"No Activity","OK"),IF(F22/E22&lt;0.5,"Low Stock",IF(F22/E22&gt;3,"Overstock","OK"))))</f>
        <v>No Activity</v>
      </c>
      <c r="I22" s="16"/>
    </row>
    <row r="23" customFormat="false" ht="15" hidden="false" customHeight="false" outlineLevel="0" collapsed="false">
      <c r="A23" s="15" t="s">
        <v>39</v>
      </c>
      <c r="B23" s="15" t="s">
        <v>126</v>
      </c>
      <c r="C23" s="15" t="s">
        <v>119</v>
      </c>
      <c r="D23" s="15" t="n">
        <v>0</v>
      </c>
      <c r="E23" s="15" t="n">
        <v>0</v>
      </c>
      <c r="F23" s="15" t="n">
        <v>0</v>
      </c>
      <c r="G23" s="10" t="str">
        <f aca="false">IF(OR(E23="",E23=0),"n/a",IF(F23&lt;0,"n/a",ROUND(F23/E23,1)))</f>
        <v>n/a</v>
      </c>
      <c r="H23" s="10" t="str">
        <f aca="false">IF(F23&lt;0,"Negative (check entry)",IF(OR(E23="",E23=0),IF(F23=0,"No Activity","OK"),IF(F23/E23&lt;0.5,"Low Stock",IF(F23/E23&gt;3,"Overstock","OK"))))</f>
        <v>No Activity</v>
      </c>
      <c r="I23" s="16"/>
    </row>
    <row r="24" customFormat="false" ht="15" hidden="false" customHeight="false" outlineLevel="0" collapsed="false">
      <c r="A24" s="15" t="s">
        <v>39</v>
      </c>
      <c r="B24" s="15" t="s">
        <v>126</v>
      </c>
      <c r="C24" s="15" t="s">
        <v>130</v>
      </c>
      <c r="D24" s="15" t="n">
        <v>0</v>
      </c>
      <c r="E24" s="15" t="n">
        <v>0</v>
      </c>
      <c r="F24" s="15" t="n">
        <v>0</v>
      </c>
      <c r="G24" s="10" t="str">
        <f aca="false">IF(OR(E24="",E24=0),"n/a",IF(F24&lt;0,"n/a",ROUND(F24/E24,1)))</f>
        <v>n/a</v>
      </c>
      <c r="H24" s="10" t="str">
        <f aca="false">IF(F24&lt;0,"Negative (check entry)",IF(OR(E24="",E24=0),IF(F24=0,"No Activity","OK"),IF(F24/E24&lt;0.5,"Low Stock",IF(F24/E24&gt;3,"Overstock","OK"))))</f>
        <v>No Activity</v>
      </c>
      <c r="I24" s="16"/>
    </row>
    <row r="25" customFormat="false" ht="15" hidden="false" customHeight="false" outlineLevel="0" collapsed="false">
      <c r="A25" s="15" t="s">
        <v>39</v>
      </c>
      <c r="B25" s="15" t="s">
        <v>126</v>
      </c>
      <c r="C25" s="15" t="s">
        <v>131</v>
      </c>
      <c r="D25" s="15" t="n">
        <v>32</v>
      </c>
      <c r="E25" s="15" t="n">
        <v>0</v>
      </c>
      <c r="F25" s="15" t="n">
        <v>32</v>
      </c>
      <c r="G25" s="10" t="str">
        <f aca="false">IF(OR(E25="",E25=0),"n/a",IF(F25&lt;0,"n/a",ROUND(F25/E25,1)))</f>
        <v>n/a</v>
      </c>
      <c r="H25" s="10" t="str">
        <f aca="false">IF(F25&lt;0,"Negative (check entry)",IF(OR(E25="",E25=0),IF(F25=0,"No Activity","OK"),IF(F25/E25&lt;0.5,"Low Stock",IF(F25/E25&gt;3,"Overstock","OK"))))</f>
        <v>OK</v>
      </c>
      <c r="I25" s="16"/>
    </row>
    <row r="26" customFormat="false" ht="15" hidden="false" customHeight="false" outlineLevel="0" collapsed="false">
      <c r="A26" s="15" t="s">
        <v>39</v>
      </c>
      <c r="B26" s="15" t="s">
        <v>126</v>
      </c>
      <c r="C26" s="15" t="s">
        <v>132</v>
      </c>
      <c r="D26" s="15" t="n">
        <v>272</v>
      </c>
      <c r="E26" s="15" t="n">
        <v>0</v>
      </c>
      <c r="F26" s="15" t="n">
        <v>272</v>
      </c>
      <c r="G26" s="10" t="str">
        <f aca="false">IF(OR(E26="",E26=0),"n/a",IF(F26&lt;0,"n/a",ROUND(F26/E26,1)))</f>
        <v>n/a</v>
      </c>
      <c r="H26" s="10" t="str">
        <f aca="false">IF(F26&lt;0,"Negative (check entry)",IF(OR(E26="",E26=0),IF(F26=0,"No Activity","OK"),IF(F26/E26&lt;0.5,"Low Stock",IF(F26/E26&gt;3,"Overstock","OK"))))</f>
        <v>OK</v>
      </c>
      <c r="I26" s="16"/>
    </row>
    <row r="27" customFormat="false" ht="15" hidden="false" customHeight="false" outlineLevel="0" collapsed="false">
      <c r="A27" s="15" t="s">
        <v>39</v>
      </c>
      <c r="B27" s="15" t="s">
        <v>53</v>
      </c>
      <c r="C27" s="15" t="s">
        <v>86</v>
      </c>
      <c r="D27" s="15" t="n">
        <v>0</v>
      </c>
      <c r="E27" s="15" t="n">
        <v>0</v>
      </c>
      <c r="F27" s="15" t="n">
        <v>0</v>
      </c>
      <c r="G27" s="10" t="str">
        <f aca="false">IF(OR(E27="",E27=0),"n/a",IF(F27&lt;0,"n/a",ROUND(F27/E27,1)))</f>
        <v>n/a</v>
      </c>
      <c r="H27" s="10" t="str">
        <f aca="false">IF(F27&lt;0,"Negative (check entry)",IF(OR(E27="",E27=0),IF(F27=0,"No Activity","OK"),IF(F27/E27&lt;0.5,"Low Stock",IF(F27/E27&gt;3,"Overstock","OK"))))</f>
        <v>No Activity</v>
      </c>
      <c r="I27" s="16"/>
    </row>
    <row r="28" customFormat="false" ht="15" hidden="false" customHeight="false" outlineLevel="0" collapsed="false">
      <c r="A28" s="15" t="s">
        <v>39</v>
      </c>
      <c r="B28" s="15" t="s">
        <v>53</v>
      </c>
      <c r="C28" s="15" t="s">
        <v>73</v>
      </c>
      <c r="D28" s="15" t="n">
        <v>0</v>
      </c>
      <c r="E28" s="15" t="n">
        <v>0</v>
      </c>
      <c r="F28" s="15" t="n">
        <v>0</v>
      </c>
      <c r="G28" s="10" t="str">
        <f aca="false">IF(OR(E28="",E28=0),"n/a",IF(F28&lt;0,"n/a",ROUND(F28/E28,1)))</f>
        <v>n/a</v>
      </c>
      <c r="H28" s="10" t="str">
        <f aca="false">IF(F28&lt;0,"Negative (check entry)",IF(OR(E28="",E28=0),IF(F28=0,"No Activity","OK"),IF(F28/E28&lt;0.5,"Low Stock",IF(F28/E28&gt;3,"Overstock","OK"))))</f>
        <v>No Activity</v>
      </c>
      <c r="I28" s="16"/>
    </row>
    <row r="29" customFormat="false" ht="15" hidden="false" customHeight="false" outlineLevel="0" collapsed="false">
      <c r="A29" s="15" t="s">
        <v>39</v>
      </c>
      <c r="B29" s="15" t="s">
        <v>53</v>
      </c>
      <c r="C29" s="15" t="s">
        <v>80</v>
      </c>
      <c r="D29" s="15" t="n">
        <v>704</v>
      </c>
      <c r="E29" s="15" t="n">
        <v>704</v>
      </c>
      <c r="F29" s="15" t="n">
        <v>0</v>
      </c>
      <c r="G29" s="10" t="n">
        <f aca="false">IF(OR(E29="",E29=0),"n/a",IF(F29&lt;0,"n/a",ROUND(F29/E29,1)))</f>
        <v>0</v>
      </c>
      <c r="H29" s="10" t="str">
        <f aca="false">IF(F29&lt;0,"Negative (check entry)",IF(OR(E29="",E29=0),IF(F29=0,"No Activity","OK"),IF(F29/E29&lt;0.5,"Low Stock",IF(F29/E29&gt;3,"Overstock","OK"))))</f>
        <v>Low Stock</v>
      </c>
      <c r="I29" s="16"/>
    </row>
    <row r="30" customFormat="false" ht="15" hidden="false" customHeight="false" outlineLevel="0" collapsed="false">
      <c r="A30" s="15" t="s">
        <v>39</v>
      </c>
      <c r="B30" s="15" t="s">
        <v>53</v>
      </c>
      <c r="C30" s="15" t="s">
        <v>119</v>
      </c>
      <c r="D30" s="15" t="n">
        <v>0</v>
      </c>
      <c r="E30" s="15" t="n">
        <v>0</v>
      </c>
      <c r="F30" s="15" t="n">
        <v>0</v>
      </c>
      <c r="G30" s="10" t="str">
        <f aca="false">IF(OR(E30="",E30=0),"n/a",IF(F30&lt;0,"n/a",ROUND(F30/E30,1)))</f>
        <v>n/a</v>
      </c>
      <c r="H30" s="10" t="str">
        <f aca="false">IF(F30&lt;0,"Negative (check entry)",IF(OR(E30="",E30=0),IF(F30=0,"No Activity","OK"),IF(F30/E30&lt;0.5,"Low Stock",IF(F30/E30&gt;3,"Overstock","OK"))))</f>
        <v>No Activity</v>
      </c>
      <c r="I30" s="16"/>
    </row>
    <row r="31" customFormat="false" ht="15" hidden="false" customHeight="false" outlineLevel="0" collapsed="false">
      <c r="A31" s="15" t="s">
        <v>39</v>
      </c>
      <c r="B31" s="15" t="s">
        <v>53</v>
      </c>
      <c r="C31" s="15" t="s">
        <v>123</v>
      </c>
      <c r="D31" s="15" t="n">
        <v>1456</v>
      </c>
      <c r="E31" s="15" t="n">
        <v>464</v>
      </c>
      <c r="F31" s="15" t="n">
        <v>992</v>
      </c>
      <c r="G31" s="10" t="n">
        <f aca="false">IF(OR(E31="",E31=0),"n/a",IF(F31&lt;0,"n/a",ROUND(F31/E31,1)))</f>
        <v>2.1</v>
      </c>
      <c r="H31" s="10" t="str">
        <f aca="false">IF(F31&lt;0,"Negative (check entry)",IF(OR(E31="",E31=0),IF(F31=0,"No Activity","OK"),IF(F31/E31&lt;0.5,"Low Stock",IF(F31/E31&gt;3,"Overstock","OK"))))</f>
        <v>OK</v>
      </c>
      <c r="I31" s="16"/>
    </row>
    <row r="32" customFormat="false" ht="15" hidden="false" customHeight="false" outlineLevel="0" collapsed="false">
      <c r="A32" s="15" t="s">
        <v>39</v>
      </c>
      <c r="B32" s="15" t="s">
        <v>53</v>
      </c>
      <c r="C32" s="15" t="s">
        <v>38</v>
      </c>
      <c r="D32" s="15" t="n">
        <v>0</v>
      </c>
      <c r="E32" s="15" t="n">
        <v>0</v>
      </c>
      <c r="F32" s="15" t="n">
        <v>0</v>
      </c>
      <c r="G32" s="10" t="str">
        <f aca="false">IF(OR(E32="",E32=0),"n/a",IF(F32&lt;0,"n/a",ROUND(F32/E32,1)))</f>
        <v>n/a</v>
      </c>
      <c r="H32" s="10" t="str">
        <f aca="false">IF(F32&lt;0,"Negative (check entry)",IF(OR(E32="",E32=0),IF(F32=0,"No Activity","OK"),IF(F32/E32&lt;0.5,"Low Stock",IF(F32/E32&gt;3,"Overstock","OK"))))</f>
        <v>No Activity</v>
      </c>
      <c r="I32" s="16"/>
    </row>
    <row r="33" customFormat="false" ht="15" hidden="false" customHeight="false" outlineLevel="0" collapsed="false">
      <c r="A33" s="15" t="s">
        <v>39</v>
      </c>
      <c r="B33" s="15" t="s">
        <v>53</v>
      </c>
      <c r="C33" s="15" t="s">
        <v>50</v>
      </c>
      <c r="D33" s="15" t="n">
        <v>1840</v>
      </c>
      <c r="E33" s="15" t="n">
        <v>2016</v>
      </c>
      <c r="F33" s="15" t="n">
        <v>-176</v>
      </c>
      <c r="G33" s="10" t="str">
        <f aca="false">IF(OR(E33="",E33=0),"n/a",IF(F33&lt;0,"n/a",ROUND(F33/E33,1)))</f>
        <v>n/a</v>
      </c>
      <c r="H33" s="10" t="str">
        <f aca="false">IF(F33&lt;0,"Negative (check entry)",IF(OR(E33="",E33=0),IF(F33=0,"No Activity","OK"),IF(F33/E33&lt;0.5,"Low Stock",IF(F33/E33&gt;3,"Overstock","OK"))))</f>
        <v>Negative (check entry)</v>
      </c>
      <c r="I33" s="16"/>
    </row>
    <row r="34" customFormat="false" ht="15" hidden="false" customHeight="false" outlineLevel="0" collapsed="false">
      <c r="A34" s="15" t="s">
        <v>39</v>
      </c>
      <c r="B34" s="15" t="s">
        <v>53</v>
      </c>
      <c r="C34" s="15" t="s">
        <v>59</v>
      </c>
      <c r="D34" s="15" t="n">
        <v>0</v>
      </c>
      <c r="E34" s="15" t="n">
        <v>0</v>
      </c>
      <c r="F34" s="15" t="n">
        <v>0</v>
      </c>
      <c r="G34" s="10" t="str">
        <f aca="false">IF(OR(E34="",E34=0),"n/a",IF(F34&lt;0,"n/a",ROUND(F34/E34,1)))</f>
        <v>n/a</v>
      </c>
      <c r="H34" s="10" t="str">
        <f aca="false">IF(F34&lt;0,"Negative (check entry)",IF(OR(E34="",E34=0),IF(F34=0,"No Activity","OK"),IF(F34/E34&lt;0.5,"Low Stock",IF(F34/E34&gt;3,"Overstock","OK"))))</f>
        <v>No Activity</v>
      </c>
      <c r="I34" s="16"/>
    </row>
    <row r="35" customFormat="false" ht="15" hidden="false" customHeight="false" outlineLevel="0" collapsed="false">
      <c r="A35" s="15" t="s">
        <v>39</v>
      </c>
      <c r="B35" s="15" t="s">
        <v>133</v>
      </c>
      <c r="C35" s="15" t="s">
        <v>73</v>
      </c>
      <c r="D35" s="15" t="n">
        <v>32</v>
      </c>
      <c r="E35" s="15" t="n">
        <v>0</v>
      </c>
      <c r="F35" s="15" t="n">
        <v>32</v>
      </c>
      <c r="G35" s="10" t="str">
        <f aca="false">IF(OR(E35="",E35=0),"n/a",IF(F35&lt;0,"n/a",ROUND(F35/E35,1)))</f>
        <v>n/a</v>
      </c>
      <c r="H35" s="10" t="str">
        <f aca="false">IF(F35&lt;0,"Negative (check entry)",IF(OR(E35="",E35=0),IF(F35=0,"No Activity","OK"),IF(F35/E35&lt;0.5,"Low Stock",IF(F35/E35&gt;3,"Overstock","OK"))))</f>
        <v>OK</v>
      </c>
      <c r="I35" s="16"/>
    </row>
    <row r="36" customFormat="false" ht="15" hidden="false" customHeight="false" outlineLevel="0" collapsed="false">
      <c r="A36" s="15" t="s">
        <v>39</v>
      </c>
      <c r="B36" s="15" t="s">
        <v>133</v>
      </c>
      <c r="C36" s="15" t="s">
        <v>96</v>
      </c>
      <c r="D36" s="15" t="n">
        <v>368</v>
      </c>
      <c r="E36" s="15" t="n">
        <v>0</v>
      </c>
      <c r="F36" s="15" t="n">
        <v>368</v>
      </c>
      <c r="G36" s="10" t="str">
        <f aca="false">IF(OR(E36="",E36=0),"n/a",IF(F36&lt;0,"n/a",ROUND(F36/E36,1)))</f>
        <v>n/a</v>
      </c>
      <c r="H36" s="10" t="str">
        <f aca="false">IF(F36&lt;0,"Negative (check entry)",IF(OR(E36="",E36=0),IF(F36=0,"No Activity","OK"),IF(F36/E36&lt;0.5,"Low Stock",IF(F36/E36&gt;3,"Overstock","OK"))))</f>
        <v>OK</v>
      </c>
      <c r="I36" s="16"/>
    </row>
    <row r="37" customFormat="false" ht="15" hidden="false" customHeight="false" outlineLevel="0" collapsed="false">
      <c r="A37" s="15" t="s">
        <v>39</v>
      </c>
      <c r="B37" s="15" t="s">
        <v>133</v>
      </c>
      <c r="C37" s="15" t="s">
        <v>134</v>
      </c>
      <c r="D37" s="15" t="n">
        <v>48</v>
      </c>
      <c r="E37" s="15" t="n">
        <v>0</v>
      </c>
      <c r="F37" s="15" t="n">
        <v>48</v>
      </c>
      <c r="G37" s="10" t="str">
        <f aca="false">IF(OR(E37="",E37=0),"n/a",IF(F37&lt;0,"n/a",ROUND(F37/E37,1)))</f>
        <v>n/a</v>
      </c>
      <c r="H37" s="10" t="str">
        <f aca="false">IF(F37&lt;0,"Negative (check entry)",IF(OR(E37="",E37=0),IF(F37=0,"No Activity","OK"),IF(F37/E37&lt;0.5,"Low Stock",IF(F37/E37&gt;3,"Overstock","OK"))))</f>
        <v>OK</v>
      </c>
      <c r="I37" s="16"/>
    </row>
    <row r="38" customFormat="false" ht="15" hidden="false" customHeight="false" outlineLevel="0" collapsed="false">
      <c r="A38" s="15" t="s">
        <v>39</v>
      </c>
      <c r="B38" s="15" t="s">
        <v>133</v>
      </c>
      <c r="C38" s="15" t="s">
        <v>52</v>
      </c>
      <c r="D38" s="15" t="n">
        <v>0</v>
      </c>
      <c r="E38" s="15" t="n">
        <v>0</v>
      </c>
      <c r="F38" s="15" t="n">
        <v>0</v>
      </c>
      <c r="G38" s="10" t="str">
        <f aca="false">IF(OR(E38="",E38=0),"n/a",IF(F38&lt;0,"n/a",ROUND(F38/E38,1)))</f>
        <v>n/a</v>
      </c>
      <c r="H38" s="10" t="str">
        <f aca="false">IF(F38&lt;0,"Negative (check entry)",IF(OR(E38="",E38=0),IF(F38=0,"No Activity","OK"),IF(F38/E38&lt;0.5,"Low Stock",IF(F38/E38&gt;3,"Overstock","OK"))))</f>
        <v>No Activity</v>
      </c>
      <c r="I38" s="16"/>
    </row>
    <row r="39" customFormat="false" ht="15" hidden="false" customHeight="false" outlineLevel="0" collapsed="false">
      <c r="A39" s="15" t="s">
        <v>39</v>
      </c>
      <c r="B39" s="15" t="s">
        <v>133</v>
      </c>
      <c r="C39" s="15" t="s">
        <v>56</v>
      </c>
      <c r="D39" s="15" t="n">
        <v>0</v>
      </c>
      <c r="E39" s="15" t="n">
        <v>0</v>
      </c>
      <c r="F39" s="15" t="n">
        <v>0</v>
      </c>
      <c r="G39" s="10" t="str">
        <f aca="false">IF(OR(E39="",E39=0),"n/a",IF(F39&lt;0,"n/a",ROUND(F39/E39,1)))</f>
        <v>n/a</v>
      </c>
      <c r="H39" s="10" t="str">
        <f aca="false">IF(F39&lt;0,"Negative (check entry)",IF(OR(E39="",E39=0),IF(F39=0,"No Activity","OK"),IF(F39/E39&lt;0.5,"Low Stock",IF(F39/E39&gt;3,"Overstock","OK"))))</f>
        <v>No Activity</v>
      </c>
      <c r="I39" s="16"/>
    </row>
    <row r="40" customFormat="false" ht="15" hidden="false" customHeight="false" outlineLevel="0" collapsed="false">
      <c r="A40" s="15" t="s">
        <v>39</v>
      </c>
      <c r="B40" s="15" t="s">
        <v>133</v>
      </c>
      <c r="C40" s="15" t="s">
        <v>86</v>
      </c>
      <c r="D40" s="15" t="n">
        <v>0</v>
      </c>
      <c r="E40" s="15" t="n">
        <v>0</v>
      </c>
      <c r="F40" s="15" t="n">
        <v>0</v>
      </c>
      <c r="G40" s="10" t="str">
        <f aca="false">IF(OR(E40="",E40=0),"n/a",IF(F40&lt;0,"n/a",ROUND(F40/E40,1)))</f>
        <v>n/a</v>
      </c>
      <c r="H40" s="10" t="str">
        <f aca="false">IF(F40&lt;0,"Negative (check entry)",IF(OR(E40="",E40=0),IF(F40=0,"No Activity","OK"),IF(F40/E40&lt;0.5,"Low Stock",IF(F40/E40&gt;3,"Overstock","OK"))))</f>
        <v>No Activity</v>
      </c>
      <c r="I40" s="16"/>
    </row>
    <row r="41" customFormat="false" ht="15" hidden="false" customHeight="false" outlineLevel="0" collapsed="false">
      <c r="A41" s="15" t="s">
        <v>39</v>
      </c>
      <c r="B41" s="15" t="s">
        <v>133</v>
      </c>
      <c r="C41" s="15" t="s">
        <v>135</v>
      </c>
      <c r="D41" s="15" t="n">
        <v>0</v>
      </c>
      <c r="E41" s="15" t="n">
        <v>0</v>
      </c>
      <c r="F41" s="15" t="n">
        <v>0</v>
      </c>
      <c r="G41" s="10" t="str">
        <f aca="false">IF(OR(E41="",E41=0),"n/a",IF(F41&lt;0,"n/a",ROUND(F41/E41,1)))</f>
        <v>n/a</v>
      </c>
      <c r="H41" s="10" t="str">
        <f aca="false">IF(F41&lt;0,"Negative (check entry)",IF(OR(E41="",E41=0),IF(F41=0,"No Activity","OK"),IF(F41/E41&lt;0.5,"Low Stock",IF(F41/E41&gt;3,"Overstock","OK"))))</f>
        <v>No Activity</v>
      </c>
      <c r="I41" s="16"/>
    </row>
    <row r="42" customFormat="false" ht="15" hidden="false" customHeight="false" outlineLevel="0" collapsed="false">
      <c r="A42" s="15" t="s">
        <v>39</v>
      </c>
      <c r="B42" s="15" t="s">
        <v>133</v>
      </c>
      <c r="C42" s="15" t="s">
        <v>136</v>
      </c>
      <c r="D42" s="15" t="n">
        <v>0</v>
      </c>
      <c r="E42" s="15" t="n">
        <v>0</v>
      </c>
      <c r="F42" s="15" t="n">
        <v>0</v>
      </c>
      <c r="G42" s="10" t="str">
        <f aca="false">IF(OR(E42="",E42=0),"n/a",IF(F42&lt;0,"n/a",ROUND(F42/E42,1)))</f>
        <v>n/a</v>
      </c>
      <c r="H42" s="10" t="str">
        <f aca="false">IF(F42&lt;0,"Negative (check entry)",IF(OR(E42="",E42=0),IF(F42=0,"No Activity","OK"),IF(F42/E42&lt;0.5,"Low Stock",IF(F42/E42&gt;3,"Overstock","OK"))))</f>
        <v>No Activity</v>
      </c>
      <c r="I42" s="16"/>
    </row>
    <row r="43" customFormat="false" ht="15" hidden="false" customHeight="false" outlineLevel="0" collapsed="false">
      <c r="A43" s="15" t="s">
        <v>39</v>
      </c>
      <c r="B43" s="15" t="s">
        <v>40</v>
      </c>
      <c r="C43" s="15" t="s">
        <v>129</v>
      </c>
      <c r="D43" s="15" t="n">
        <v>0</v>
      </c>
      <c r="E43" s="15" t="n">
        <v>0</v>
      </c>
      <c r="F43" s="15" t="n">
        <v>0</v>
      </c>
      <c r="G43" s="10" t="str">
        <f aca="false">IF(OR(E43="",E43=0),"n/a",IF(F43&lt;0,"n/a",ROUND(F43/E43,1)))</f>
        <v>n/a</v>
      </c>
      <c r="H43" s="10" t="str">
        <f aca="false">IF(F43&lt;0,"Negative (check entry)",IF(OR(E43="",E43=0),IF(F43=0,"No Activity","OK"),IF(F43/E43&lt;0.5,"Low Stock",IF(F43/E43&gt;3,"Overstock","OK"))))</f>
        <v>No Activity</v>
      </c>
      <c r="I43" s="16"/>
    </row>
    <row r="44" customFormat="false" ht="15" hidden="false" customHeight="false" outlineLevel="0" collapsed="false">
      <c r="A44" s="15" t="s">
        <v>39</v>
      </c>
      <c r="B44" s="15" t="s">
        <v>40</v>
      </c>
      <c r="C44" s="15" t="s">
        <v>137</v>
      </c>
      <c r="D44" s="15" t="n">
        <v>0</v>
      </c>
      <c r="E44" s="15" t="n">
        <v>0</v>
      </c>
      <c r="F44" s="15" t="n">
        <v>0</v>
      </c>
      <c r="G44" s="10" t="str">
        <f aca="false">IF(OR(E44="",E44=0),"n/a",IF(F44&lt;0,"n/a",ROUND(F44/E44,1)))</f>
        <v>n/a</v>
      </c>
      <c r="H44" s="10" t="str">
        <f aca="false">IF(F44&lt;0,"Negative (check entry)",IF(OR(E44="",E44=0),IF(F44=0,"No Activity","OK"),IF(F44/E44&lt;0.5,"Low Stock",IF(F44/E44&gt;3,"Overstock","OK"))))</f>
        <v>No Activity</v>
      </c>
      <c r="I44" s="16"/>
    </row>
    <row r="45" customFormat="false" ht="15" hidden="false" customHeight="false" outlineLevel="0" collapsed="false">
      <c r="A45" s="15" t="s">
        <v>39</v>
      </c>
      <c r="B45" s="15" t="s">
        <v>40</v>
      </c>
      <c r="C45" s="15" t="s">
        <v>59</v>
      </c>
      <c r="D45" s="15" t="n">
        <v>1760</v>
      </c>
      <c r="E45" s="15" t="n">
        <v>3200</v>
      </c>
      <c r="F45" s="15" t="n">
        <v>1552</v>
      </c>
      <c r="G45" s="10" t="n">
        <f aca="false">IF(OR(E45="",E45=0),"n/a",IF(F45&lt;0,"n/a",ROUND(F45/E45,1)))</f>
        <v>0.5</v>
      </c>
      <c r="H45" s="10" t="str">
        <f aca="false">IF(F45&lt;0,"Negative (check entry)",IF(OR(E45="",E45=0),IF(F45=0,"No Activity","OK"),IF(F45/E45&lt;0.5,"Low Stock",IF(F45/E45&gt;3,"Overstock","OK"))))</f>
        <v>Low Stock</v>
      </c>
      <c r="I45" s="16"/>
    </row>
    <row r="46" customFormat="false" ht="15" hidden="false" customHeight="false" outlineLevel="0" collapsed="false">
      <c r="A46" s="15" t="s">
        <v>39</v>
      </c>
      <c r="B46" s="15" t="s">
        <v>40</v>
      </c>
      <c r="C46" s="15" t="s">
        <v>42</v>
      </c>
      <c r="D46" s="15" t="n">
        <v>0</v>
      </c>
      <c r="E46" s="15" t="n">
        <v>192</v>
      </c>
      <c r="F46" s="15" t="n">
        <v>-192</v>
      </c>
      <c r="G46" s="10" t="str">
        <f aca="false">IF(OR(E46="",E46=0),"n/a",IF(F46&lt;0,"n/a",ROUND(F46/E46,1)))</f>
        <v>n/a</v>
      </c>
      <c r="H46" s="10" t="str">
        <f aca="false">IF(F46&lt;0,"Negative (check entry)",IF(OR(E46="",E46=0),IF(F46=0,"No Activity","OK"),IF(F46/E46&lt;0.5,"Low Stock",IF(F46/E46&gt;3,"Overstock","OK"))))</f>
        <v>Negative (check entry)</v>
      </c>
      <c r="I46" s="16"/>
    </row>
    <row r="47" customFormat="false" ht="15" hidden="false" customHeight="false" outlineLevel="0" collapsed="false">
      <c r="A47" s="15" t="s">
        <v>39</v>
      </c>
      <c r="B47" s="15" t="s">
        <v>40</v>
      </c>
      <c r="C47" s="15" t="s">
        <v>119</v>
      </c>
      <c r="D47" s="15" t="n">
        <v>624</v>
      </c>
      <c r="E47" s="15" t="n">
        <v>208</v>
      </c>
      <c r="F47" s="15" t="n">
        <v>416</v>
      </c>
      <c r="G47" s="10" t="n">
        <f aca="false">IF(OR(E47="",E47=0),"n/a",IF(F47&lt;0,"n/a",ROUND(F47/E47,1)))</f>
        <v>2</v>
      </c>
      <c r="H47" s="10" t="str">
        <f aca="false">IF(F47&lt;0,"Negative (check entry)",IF(OR(E47="",E47=0),IF(F47=0,"No Activity","OK"),IF(F47/E47&lt;0.5,"Low Stock",IF(F47/E47&gt;3,"Overstock","OK"))))</f>
        <v>OK</v>
      </c>
      <c r="I47" s="16"/>
    </row>
    <row r="48" customFormat="false" ht="15" hidden="false" customHeight="false" outlineLevel="0" collapsed="false">
      <c r="A48" s="15" t="s">
        <v>39</v>
      </c>
      <c r="B48" s="15" t="s">
        <v>40</v>
      </c>
      <c r="C48" s="15" t="s">
        <v>38</v>
      </c>
      <c r="D48" s="15" t="n">
        <v>3056</v>
      </c>
      <c r="E48" s="15" t="n">
        <v>4080</v>
      </c>
      <c r="F48" s="15" t="n">
        <v>1504</v>
      </c>
      <c r="G48" s="10" t="n">
        <f aca="false">IF(OR(E48="",E48=0),"n/a",IF(F48&lt;0,"n/a",ROUND(F48/E48,1)))</f>
        <v>0.4</v>
      </c>
      <c r="H48" s="10" t="str">
        <f aca="false">IF(F48&lt;0,"Negative (check entry)",IF(OR(E48="",E48=0),IF(F48=0,"No Activity","OK"),IF(F48/E48&lt;0.5,"Low Stock",IF(F48/E48&gt;3,"Overstock","OK"))))</f>
        <v>Low Stock</v>
      </c>
      <c r="I48" s="16"/>
    </row>
    <row r="49" customFormat="false" ht="15" hidden="false" customHeight="false" outlineLevel="0" collapsed="false">
      <c r="A49" s="15" t="s">
        <v>39</v>
      </c>
      <c r="B49" s="15" t="s">
        <v>40</v>
      </c>
      <c r="C49" s="15" t="s">
        <v>127</v>
      </c>
      <c r="D49" s="15" t="n">
        <v>0</v>
      </c>
      <c r="E49" s="15" t="n">
        <v>0</v>
      </c>
      <c r="F49" s="15" t="n">
        <v>0</v>
      </c>
      <c r="G49" s="10" t="str">
        <f aca="false">IF(OR(E49="",E49=0),"n/a",IF(F49&lt;0,"n/a",ROUND(F49/E49,1)))</f>
        <v>n/a</v>
      </c>
      <c r="H49" s="10" t="str">
        <f aca="false">IF(F49&lt;0,"Negative (check entry)",IF(OR(E49="",E49=0),IF(F49=0,"No Activity","OK"),IF(F49/E49&lt;0.5,"Low Stock",IF(F49/E49&gt;3,"Overstock","OK"))))</f>
        <v>No Activity</v>
      </c>
      <c r="I49" s="16"/>
    </row>
    <row r="50" customFormat="false" ht="15" hidden="false" customHeight="false" outlineLevel="0" collapsed="false">
      <c r="A50" s="15" t="s">
        <v>39</v>
      </c>
      <c r="B50" s="15" t="s">
        <v>40</v>
      </c>
      <c r="C50" s="15" t="s">
        <v>41</v>
      </c>
      <c r="D50" s="15" t="n">
        <v>0</v>
      </c>
      <c r="E50" s="15" t="n">
        <v>800</v>
      </c>
      <c r="F50" s="15" t="n">
        <v>-800</v>
      </c>
      <c r="G50" s="10" t="str">
        <f aca="false">IF(OR(E50="",E50=0),"n/a",IF(F50&lt;0,"n/a",ROUND(F50/E50,1)))</f>
        <v>n/a</v>
      </c>
      <c r="H50" s="10" t="str">
        <f aca="false">IF(F50&lt;0,"Negative (check entry)",IF(OR(E50="",E50=0),IF(F50=0,"No Activity","OK"),IF(F50/E50&lt;0.5,"Low Stock",IF(F50/E50&gt;3,"Overstock","OK"))))</f>
        <v>Negative (check entry)</v>
      </c>
      <c r="I50" s="16"/>
    </row>
    <row r="51" customFormat="false" ht="15" hidden="false" customHeight="false" outlineLevel="0" collapsed="false">
      <c r="A51" s="15" t="s">
        <v>39</v>
      </c>
      <c r="B51" s="15" t="s">
        <v>81</v>
      </c>
      <c r="C51" s="15" t="s">
        <v>79</v>
      </c>
      <c r="D51" s="15" t="n">
        <v>0</v>
      </c>
      <c r="E51" s="15" t="n">
        <v>0</v>
      </c>
      <c r="F51" s="15" t="n">
        <v>0</v>
      </c>
      <c r="G51" s="10" t="str">
        <f aca="false">IF(OR(E51="",E51=0),"n/a",IF(F51&lt;0,"n/a",ROUND(F51/E51,1)))</f>
        <v>n/a</v>
      </c>
      <c r="H51" s="10" t="str">
        <f aca="false">IF(F51&lt;0,"Negative (check entry)",IF(OR(E51="",E51=0),IF(F51=0,"No Activity","OK"),IF(F51/E51&lt;0.5,"Low Stock",IF(F51/E51&gt;3,"Overstock","OK"))))</f>
        <v>No Activity</v>
      </c>
      <c r="I51" s="16"/>
    </row>
    <row r="52" customFormat="false" ht="15" hidden="false" customHeight="false" outlineLevel="0" collapsed="false">
      <c r="A52" s="15" t="s">
        <v>39</v>
      </c>
      <c r="B52" s="15" t="s">
        <v>81</v>
      </c>
      <c r="C52" s="15" t="s">
        <v>68</v>
      </c>
      <c r="D52" s="15" t="n">
        <v>976</v>
      </c>
      <c r="E52" s="15" t="n">
        <v>688</v>
      </c>
      <c r="F52" s="15" t="n">
        <v>1216</v>
      </c>
      <c r="G52" s="10" t="n">
        <f aca="false">IF(OR(E52="",E52=0),"n/a",IF(F52&lt;0,"n/a",ROUND(F52/E52,1)))</f>
        <v>1.8</v>
      </c>
      <c r="H52" s="10" t="str">
        <f aca="false">IF(F52&lt;0,"Negative (check entry)",IF(OR(E52="",E52=0),IF(F52=0,"No Activity","OK"),IF(F52/E52&lt;0.5,"Low Stock",IF(F52/E52&gt;3,"Overstock","OK"))))</f>
        <v>OK</v>
      </c>
      <c r="I52" s="16"/>
    </row>
    <row r="53" customFormat="false" ht="15" hidden="false" customHeight="false" outlineLevel="0" collapsed="false">
      <c r="A53" s="15" t="s">
        <v>39</v>
      </c>
      <c r="B53" s="15" t="s">
        <v>81</v>
      </c>
      <c r="C53" s="15" t="s">
        <v>138</v>
      </c>
      <c r="D53" s="15" t="n">
        <v>1328</v>
      </c>
      <c r="E53" s="15" t="n">
        <v>480</v>
      </c>
      <c r="F53" s="15" t="n">
        <v>848</v>
      </c>
      <c r="G53" s="10" t="n">
        <f aca="false">IF(OR(E53="",E53=0),"n/a",IF(F53&lt;0,"n/a",ROUND(F53/E53,1)))</f>
        <v>1.8</v>
      </c>
      <c r="H53" s="10" t="str">
        <f aca="false">IF(F53&lt;0,"Negative (check entry)",IF(OR(E53="",E53=0),IF(F53=0,"No Activity","OK"),IF(F53/E53&lt;0.5,"Low Stock",IF(F53/E53&gt;3,"Overstock","OK"))))</f>
        <v>OK</v>
      </c>
      <c r="I53" s="16"/>
    </row>
    <row r="54" customFormat="false" ht="15" hidden="false" customHeight="false" outlineLevel="0" collapsed="false">
      <c r="A54" s="15" t="s">
        <v>39</v>
      </c>
      <c r="B54" s="15" t="s">
        <v>81</v>
      </c>
      <c r="C54" s="15" t="s">
        <v>139</v>
      </c>
      <c r="D54" s="15" t="n">
        <v>464</v>
      </c>
      <c r="E54" s="15" t="n">
        <v>272</v>
      </c>
      <c r="F54" s="15" t="n">
        <v>192</v>
      </c>
      <c r="G54" s="10" t="n">
        <f aca="false">IF(OR(E54="",E54=0),"n/a",IF(F54&lt;0,"n/a",ROUND(F54/E54,1)))</f>
        <v>0.7</v>
      </c>
      <c r="H54" s="10" t="str">
        <f aca="false">IF(F54&lt;0,"Negative (check entry)",IF(OR(E54="",E54=0),IF(F54=0,"No Activity","OK"),IF(F54/E54&lt;0.5,"Low Stock",IF(F54/E54&gt;3,"Overstock","OK"))))</f>
        <v>OK</v>
      </c>
      <c r="I54" s="16"/>
    </row>
    <row r="55" customFormat="false" ht="15" hidden="false" customHeight="false" outlineLevel="0" collapsed="false">
      <c r="A55" s="15" t="s">
        <v>39</v>
      </c>
      <c r="B55" s="15" t="s">
        <v>81</v>
      </c>
      <c r="C55" s="15" t="s">
        <v>119</v>
      </c>
      <c r="D55" s="15" t="n">
        <v>0</v>
      </c>
      <c r="E55" s="15" t="n">
        <v>0</v>
      </c>
      <c r="F55" s="15" t="n">
        <v>0</v>
      </c>
      <c r="G55" s="10" t="str">
        <f aca="false">IF(OR(E55="",E55=0),"n/a",IF(F55&lt;0,"n/a",ROUND(F55/E55,1)))</f>
        <v>n/a</v>
      </c>
      <c r="H55" s="10" t="str">
        <f aca="false">IF(F55&lt;0,"Negative (check entry)",IF(OR(E55="",E55=0),IF(F55=0,"No Activity","OK"),IF(F55/E55&lt;0.5,"Low Stock",IF(F55/E55&gt;3,"Overstock","OK"))))</f>
        <v>No Activity</v>
      </c>
      <c r="I55" s="16"/>
    </row>
    <row r="56" customFormat="false" ht="15" hidden="false" customHeight="false" outlineLevel="0" collapsed="false">
      <c r="A56" s="15" t="s">
        <v>39</v>
      </c>
      <c r="B56" s="15" t="s">
        <v>81</v>
      </c>
      <c r="C56" s="15" t="s">
        <v>140</v>
      </c>
      <c r="D56" s="15" t="n">
        <v>0</v>
      </c>
      <c r="E56" s="15" t="n">
        <v>0</v>
      </c>
      <c r="F56" s="15" t="n">
        <v>0</v>
      </c>
      <c r="G56" s="10" t="str">
        <f aca="false">IF(OR(E56="",E56=0),"n/a",IF(F56&lt;0,"n/a",ROUND(F56/E56,1)))</f>
        <v>n/a</v>
      </c>
      <c r="H56" s="10" t="str">
        <f aca="false">IF(F56&lt;0,"Negative (check entry)",IF(OR(E56="",E56=0),IF(F56=0,"No Activity","OK"),IF(F56/E56&lt;0.5,"Low Stock",IF(F56/E56&gt;3,"Overstock","OK"))))</f>
        <v>No Activity</v>
      </c>
      <c r="I56" s="16"/>
    </row>
    <row r="57" customFormat="false" ht="15" hidden="false" customHeight="false" outlineLevel="0" collapsed="false">
      <c r="A57" s="15" t="s">
        <v>39</v>
      </c>
      <c r="B57" s="15" t="s">
        <v>81</v>
      </c>
      <c r="C57" s="15" t="s">
        <v>80</v>
      </c>
      <c r="D57" s="15" t="n">
        <v>160</v>
      </c>
      <c r="E57" s="15" t="n">
        <v>160</v>
      </c>
      <c r="F57" s="15" t="n">
        <v>0</v>
      </c>
      <c r="G57" s="10" t="n">
        <f aca="false">IF(OR(E57="",E57=0),"n/a",IF(F57&lt;0,"n/a",ROUND(F57/E57,1)))</f>
        <v>0</v>
      </c>
      <c r="H57" s="10" t="str">
        <f aca="false">IF(F57&lt;0,"Negative (check entry)",IF(OR(E57="",E57=0),IF(F57=0,"No Activity","OK"),IF(F57/E57&lt;0.5,"Low Stock",IF(F57/E57&gt;3,"Overstock","OK"))))</f>
        <v>Low Stock</v>
      </c>
      <c r="I57" s="16"/>
    </row>
    <row r="58" customFormat="false" ht="15" hidden="false" customHeight="false" outlineLevel="0" collapsed="false">
      <c r="A58" s="15" t="s">
        <v>39</v>
      </c>
      <c r="B58" s="15" t="s">
        <v>81</v>
      </c>
      <c r="C58" s="15" t="s">
        <v>141</v>
      </c>
      <c r="D58" s="15" t="n">
        <v>0</v>
      </c>
      <c r="E58" s="15" t="n">
        <v>0</v>
      </c>
      <c r="F58" s="15" t="n">
        <v>0</v>
      </c>
      <c r="G58" s="10" t="str">
        <f aca="false">IF(OR(E58="",E58=0),"n/a",IF(F58&lt;0,"n/a",ROUND(F58/E58,1)))</f>
        <v>n/a</v>
      </c>
      <c r="H58" s="10" t="str">
        <f aca="false">IF(F58&lt;0,"Negative (check entry)",IF(OR(E58="",E58=0),IF(F58=0,"No Activity","OK"),IF(F58/E58&lt;0.5,"Low Stock",IF(F58/E58&gt;3,"Overstock","OK"))))</f>
        <v>No Activity</v>
      </c>
      <c r="I58" s="16"/>
    </row>
    <row r="59" customFormat="false" ht="15" hidden="false" customHeight="false" outlineLevel="0" collapsed="false">
      <c r="A59" s="15" t="s">
        <v>39</v>
      </c>
      <c r="B59" s="15" t="s">
        <v>142</v>
      </c>
      <c r="C59" s="15" t="s">
        <v>56</v>
      </c>
      <c r="D59" s="15" t="n">
        <v>16</v>
      </c>
      <c r="E59" s="15" t="n">
        <v>0</v>
      </c>
      <c r="F59" s="15" t="n">
        <v>16</v>
      </c>
      <c r="G59" s="10" t="str">
        <f aca="false">IF(OR(E59="",E59=0),"n/a",IF(F59&lt;0,"n/a",ROUND(F59/E59,1)))</f>
        <v>n/a</v>
      </c>
      <c r="H59" s="10" t="str">
        <f aca="false">IF(F59&lt;0,"Negative (check entry)",IF(OR(E59="",E59=0),IF(F59=0,"No Activity","OK"),IF(F59/E59&lt;0.5,"Low Stock",IF(F59/E59&gt;3,"Overstock","OK"))))</f>
        <v>OK</v>
      </c>
      <c r="I59" s="16"/>
    </row>
    <row r="60" customFormat="false" ht="15" hidden="false" customHeight="false" outlineLevel="0" collapsed="false">
      <c r="A60" s="15" t="s">
        <v>39</v>
      </c>
      <c r="B60" s="15" t="s">
        <v>142</v>
      </c>
      <c r="C60" s="15" t="s">
        <v>140</v>
      </c>
      <c r="D60" s="15" t="n">
        <v>0</v>
      </c>
      <c r="E60" s="15" t="n">
        <v>0</v>
      </c>
      <c r="F60" s="15" t="n">
        <v>0</v>
      </c>
      <c r="G60" s="10" t="str">
        <f aca="false">IF(OR(E60="",E60=0),"n/a",IF(F60&lt;0,"n/a",ROUND(F60/E60,1)))</f>
        <v>n/a</v>
      </c>
      <c r="H60" s="10" t="str">
        <f aca="false">IF(F60&lt;0,"Negative (check entry)",IF(OR(E60="",E60=0),IF(F60=0,"No Activity","OK"),IF(F60/E60&lt;0.5,"Low Stock",IF(F60/E60&gt;3,"Overstock","OK"))))</f>
        <v>No Activity</v>
      </c>
      <c r="I60" s="16"/>
    </row>
    <row r="61" customFormat="false" ht="15" hidden="false" customHeight="false" outlineLevel="0" collapsed="false">
      <c r="A61" s="15" t="s">
        <v>39</v>
      </c>
      <c r="B61" s="15" t="s">
        <v>142</v>
      </c>
      <c r="C61" s="15" t="s">
        <v>52</v>
      </c>
      <c r="D61" s="15" t="n">
        <v>0</v>
      </c>
      <c r="E61" s="15" t="n">
        <v>0</v>
      </c>
      <c r="F61" s="15" t="n">
        <v>0</v>
      </c>
      <c r="G61" s="10" t="str">
        <f aca="false">IF(OR(E61="",E61=0),"n/a",IF(F61&lt;0,"n/a",ROUND(F61/E61,1)))</f>
        <v>n/a</v>
      </c>
      <c r="H61" s="10" t="str">
        <f aca="false">IF(F61&lt;0,"Negative (check entry)",IF(OR(E61="",E61=0),IF(F61=0,"No Activity","OK"),IF(F61/E61&lt;0.5,"Low Stock",IF(F61/E61&gt;3,"Overstock","OK"))))</f>
        <v>No Activity</v>
      </c>
      <c r="I61" s="16"/>
    </row>
    <row r="62" customFormat="false" ht="15" hidden="false" customHeight="false" outlineLevel="0" collapsed="false">
      <c r="A62" s="15" t="s">
        <v>39</v>
      </c>
      <c r="B62" s="15" t="s">
        <v>142</v>
      </c>
      <c r="C62" s="15" t="s">
        <v>38</v>
      </c>
      <c r="D62" s="15" t="n">
        <v>0</v>
      </c>
      <c r="E62" s="15" t="n">
        <v>0</v>
      </c>
      <c r="F62" s="15" t="n">
        <v>0</v>
      </c>
      <c r="G62" s="10" t="str">
        <f aca="false">IF(OR(E62="",E62=0),"n/a",IF(F62&lt;0,"n/a",ROUND(F62/E62,1)))</f>
        <v>n/a</v>
      </c>
      <c r="H62" s="10" t="str">
        <f aca="false">IF(F62&lt;0,"Negative (check entry)",IF(OR(E62="",E62=0),IF(F62=0,"No Activity","OK"),IF(F62/E62&lt;0.5,"Low Stock",IF(F62/E62&gt;3,"Overstock","OK"))))</f>
        <v>No Activity</v>
      </c>
      <c r="I62" s="16"/>
    </row>
    <row r="63" customFormat="false" ht="15" hidden="false" customHeight="false" outlineLevel="0" collapsed="false">
      <c r="A63" s="15" t="s">
        <v>39</v>
      </c>
      <c r="B63" s="15" t="s">
        <v>142</v>
      </c>
      <c r="C63" s="15" t="s">
        <v>73</v>
      </c>
      <c r="D63" s="15" t="n">
        <v>0</v>
      </c>
      <c r="E63" s="15" t="n">
        <v>0</v>
      </c>
      <c r="F63" s="15" t="n">
        <v>0</v>
      </c>
      <c r="G63" s="10" t="str">
        <f aca="false">IF(OR(E63="",E63=0),"n/a",IF(F63&lt;0,"n/a",ROUND(F63/E63,1)))</f>
        <v>n/a</v>
      </c>
      <c r="H63" s="10" t="str">
        <f aca="false">IF(F63&lt;0,"Negative (check entry)",IF(OR(E63="",E63=0),IF(F63=0,"No Activity","OK"),IF(F63/E63&lt;0.5,"Low Stock",IF(F63/E63&gt;3,"Overstock","OK"))))</f>
        <v>No Activity</v>
      </c>
      <c r="I63" s="16"/>
    </row>
    <row r="64" customFormat="false" ht="15" hidden="false" customHeight="false" outlineLevel="0" collapsed="false">
      <c r="A64" s="15" t="s">
        <v>39</v>
      </c>
      <c r="B64" s="15" t="s">
        <v>142</v>
      </c>
      <c r="C64" s="15" t="s">
        <v>143</v>
      </c>
      <c r="D64" s="15" t="n">
        <v>560</v>
      </c>
      <c r="E64" s="15" t="n">
        <v>288</v>
      </c>
      <c r="F64" s="15" t="n">
        <v>272</v>
      </c>
      <c r="G64" s="10" t="n">
        <f aca="false">IF(OR(E64="",E64=0),"n/a",IF(F64&lt;0,"n/a",ROUND(F64/E64,1)))</f>
        <v>0.9</v>
      </c>
      <c r="H64" s="10" t="str">
        <f aca="false">IF(F64&lt;0,"Negative (check entry)",IF(OR(E64="",E64=0),IF(F64=0,"No Activity","OK"),IF(F64/E64&lt;0.5,"Low Stock",IF(F64/E64&gt;3,"Overstock","OK"))))</f>
        <v>OK</v>
      </c>
      <c r="I64" s="16"/>
    </row>
    <row r="65" customFormat="false" ht="15" hidden="false" customHeight="false" outlineLevel="0" collapsed="false">
      <c r="A65" s="15" t="s">
        <v>39</v>
      </c>
      <c r="B65" s="15" t="s">
        <v>142</v>
      </c>
      <c r="C65" s="15" t="s">
        <v>72</v>
      </c>
      <c r="D65" s="15" t="n">
        <v>0</v>
      </c>
      <c r="E65" s="15" t="n">
        <v>0</v>
      </c>
      <c r="F65" s="15" t="n">
        <v>0</v>
      </c>
      <c r="G65" s="10" t="str">
        <f aca="false">IF(OR(E65="",E65=0),"n/a",IF(F65&lt;0,"n/a",ROUND(F65/E65,1)))</f>
        <v>n/a</v>
      </c>
      <c r="H65" s="10" t="str">
        <f aca="false">IF(F65&lt;0,"Negative (check entry)",IF(OR(E65="",E65=0),IF(F65=0,"No Activity","OK"),IF(F65/E65&lt;0.5,"Low Stock",IF(F65/E65&gt;3,"Overstock","OK"))))</f>
        <v>No Activity</v>
      </c>
      <c r="I65" s="16"/>
    </row>
    <row r="66" customFormat="false" ht="15" hidden="false" customHeight="false" outlineLevel="0" collapsed="false">
      <c r="A66" s="15" t="s">
        <v>39</v>
      </c>
      <c r="B66" s="15" t="s">
        <v>142</v>
      </c>
      <c r="C66" s="15" t="s">
        <v>96</v>
      </c>
      <c r="D66" s="15" t="n">
        <v>464</v>
      </c>
      <c r="E66" s="15" t="n">
        <v>0</v>
      </c>
      <c r="F66" s="15" t="n">
        <v>464</v>
      </c>
      <c r="G66" s="10" t="str">
        <f aca="false">IF(OR(E66="",E66=0),"n/a",IF(F66&lt;0,"n/a",ROUND(F66/E66,1)))</f>
        <v>n/a</v>
      </c>
      <c r="H66" s="10" t="str">
        <f aca="false">IF(F66&lt;0,"Negative (check entry)",IF(OR(E66="",E66=0),IF(F66=0,"No Activity","OK"),IF(F66/E66&lt;0.5,"Low Stock",IF(F66/E66&gt;3,"Overstock","OK"))))</f>
        <v>OK</v>
      </c>
      <c r="I66" s="16"/>
    </row>
    <row r="67" customFormat="false" ht="15" hidden="false" customHeight="false" outlineLevel="0" collapsed="false">
      <c r="A67" s="15" t="s">
        <v>39</v>
      </c>
      <c r="B67" s="15" t="s">
        <v>46</v>
      </c>
      <c r="C67" s="15" t="s">
        <v>47</v>
      </c>
      <c r="D67" s="15" t="n">
        <v>1168</v>
      </c>
      <c r="E67" s="15" t="n">
        <v>16176</v>
      </c>
      <c r="F67" s="15" t="n">
        <v>-448</v>
      </c>
      <c r="G67" s="10" t="str">
        <f aca="false">IF(OR(E67="",E67=0),"n/a",IF(F67&lt;0,"n/a",ROUND(F67/E67,1)))</f>
        <v>n/a</v>
      </c>
      <c r="H67" s="10" t="str">
        <f aca="false">IF(F67&lt;0,"Negative (check entry)",IF(OR(E67="",E67=0),IF(F67=0,"No Activity","OK"),IF(F67/E67&lt;0.5,"Low Stock",IF(F67/E67&gt;3,"Overstock","OK"))))</f>
        <v>Negative (check entry)</v>
      </c>
      <c r="I67" s="16"/>
    </row>
    <row r="68" customFormat="false" ht="15" hidden="false" customHeight="false" outlineLevel="0" collapsed="false">
      <c r="A68" s="15" t="s">
        <v>39</v>
      </c>
      <c r="B68" s="15" t="s">
        <v>46</v>
      </c>
      <c r="C68" s="15" t="s">
        <v>144</v>
      </c>
      <c r="D68" s="15" t="n">
        <v>0</v>
      </c>
      <c r="E68" s="15" t="n">
        <v>0</v>
      </c>
      <c r="F68" s="15" t="n">
        <v>0</v>
      </c>
      <c r="G68" s="10" t="str">
        <f aca="false">IF(OR(E68="",E68=0),"n/a",IF(F68&lt;0,"n/a",ROUND(F68/E68,1)))</f>
        <v>n/a</v>
      </c>
      <c r="H68" s="10" t="str">
        <f aca="false">IF(F68&lt;0,"Negative (check entry)",IF(OR(E68="",E68=0),IF(F68=0,"No Activity","OK"),IF(F68/E68&lt;0.5,"Low Stock",IF(F68/E68&gt;3,"Overstock","OK"))))</f>
        <v>No Activity</v>
      </c>
      <c r="I68" s="16"/>
    </row>
    <row r="69" customFormat="false" ht="15" hidden="false" customHeight="false" outlineLevel="0" collapsed="false">
      <c r="A69" s="15" t="s">
        <v>39</v>
      </c>
      <c r="B69" s="15" t="s">
        <v>46</v>
      </c>
      <c r="C69" s="15" t="s">
        <v>145</v>
      </c>
      <c r="D69" s="15" t="n">
        <v>0</v>
      </c>
      <c r="E69" s="15" t="n">
        <v>0</v>
      </c>
      <c r="F69" s="15" t="n">
        <v>0</v>
      </c>
      <c r="G69" s="10" t="str">
        <f aca="false">IF(OR(E69="",E69=0),"n/a",IF(F69&lt;0,"n/a",ROUND(F69/E69,1)))</f>
        <v>n/a</v>
      </c>
      <c r="H69" s="10" t="str">
        <f aca="false">IF(F69&lt;0,"Negative (check entry)",IF(OR(E69="",E69=0),IF(F69=0,"No Activity","OK"),IF(F69/E69&lt;0.5,"Low Stock",IF(F69/E69&gt;3,"Overstock","OK"))))</f>
        <v>No Activity</v>
      </c>
      <c r="I69" s="16"/>
    </row>
    <row r="70" customFormat="false" ht="15" hidden="false" customHeight="false" outlineLevel="0" collapsed="false">
      <c r="A70" s="15" t="s">
        <v>39</v>
      </c>
      <c r="B70" s="15" t="s">
        <v>46</v>
      </c>
      <c r="C70" s="15" t="s">
        <v>146</v>
      </c>
      <c r="D70" s="15" t="n">
        <v>0</v>
      </c>
      <c r="E70" s="15" t="n">
        <v>0</v>
      </c>
      <c r="F70" s="15" t="n">
        <v>0</v>
      </c>
      <c r="G70" s="10" t="str">
        <f aca="false">IF(OR(E70="",E70=0),"n/a",IF(F70&lt;0,"n/a",ROUND(F70/E70,1)))</f>
        <v>n/a</v>
      </c>
      <c r="H70" s="10" t="str">
        <f aca="false">IF(F70&lt;0,"Negative (check entry)",IF(OR(E70="",E70=0),IF(F70=0,"No Activity","OK"),IF(F70/E70&lt;0.5,"Low Stock",IF(F70/E70&gt;3,"Overstock","OK"))))</f>
        <v>No Activity</v>
      </c>
      <c r="I70" s="16"/>
    </row>
    <row r="71" customFormat="false" ht="15" hidden="false" customHeight="false" outlineLevel="0" collapsed="false">
      <c r="A71" s="15" t="s">
        <v>39</v>
      </c>
      <c r="B71" s="15" t="s">
        <v>46</v>
      </c>
      <c r="C71" s="15" t="s">
        <v>147</v>
      </c>
      <c r="D71" s="15" t="n">
        <v>400</v>
      </c>
      <c r="E71" s="15" t="n">
        <v>112</v>
      </c>
      <c r="F71" s="15" t="n">
        <v>288</v>
      </c>
      <c r="G71" s="10" t="n">
        <f aca="false">IF(OR(E71="",E71=0),"n/a",IF(F71&lt;0,"n/a",ROUND(F71/E71,1)))</f>
        <v>2.6</v>
      </c>
      <c r="H71" s="10" t="str">
        <f aca="false">IF(F71&lt;0,"Negative (check entry)",IF(OR(E71="",E71=0),IF(F71=0,"No Activity","OK"),IF(F71/E71&lt;0.5,"Low Stock",IF(F71/E71&gt;3,"Overstock","OK"))))</f>
        <v>OK</v>
      </c>
      <c r="I71" s="16"/>
    </row>
    <row r="72" customFormat="false" ht="15" hidden="false" customHeight="false" outlineLevel="0" collapsed="false">
      <c r="A72" s="15" t="s">
        <v>39</v>
      </c>
      <c r="B72" s="15" t="s">
        <v>46</v>
      </c>
      <c r="C72" s="15" t="s">
        <v>148</v>
      </c>
      <c r="D72" s="15" t="n">
        <v>0</v>
      </c>
      <c r="E72" s="15" t="n">
        <v>0</v>
      </c>
      <c r="F72" s="15" t="n">
        <v>0</v>
      </c>
      <c r="G72" s="10" t="str">
        <f aca="false">IF(OR(E72="",E72=0),"n/a",IF(F72&lt;0,"n/a",ROUND(F72/E72,1)))</f>
        <v>n/a</v>
      </c>
      <c r="H72" s="10" t="str">
        <f aca="false">IF(F72&lt;0,"Negative (check entry)",IF(OR(E72="",E72=0),IF(F72=0,"No Activity","OK"),IF(F72/E72&lt;0.5,"Low Stock",IF(F72/E72&gt;3,"Overstock","OK"))))</f>
        <v>No Activity</v>
      </c>
      <c r="I72" s="16"/>
    </row>
    <row r="73" customFormat="false" ht="15" hidden="false" customHeight="false" outlineLevel="0" collapsed="false">
      <c r="A73" s="15" t="s">
        <v>39</v>
      </c>
      <c r="B73" s="15" t="s">
        <v>46</v>
      </c>
      <c r="C73" s="15" t="s">
        <v>80</v>
      </c>
      <c r="D73" s="15" t="n">
        <v>0</v>
      </c>
      <c r="E73" s="15" t="n">
        <v>0</v>
      </c>
      <c r="F73" s="15" t="n">
        <v>0</v>
      </c>
      <c r="G73" s="10" t="str">
        <f aca="false">IF(OR(E73="",E73=0),"n/a",IF(F73&lt;0,"n/a",ROUND(F73/E73,1)))</f>
        <v>n/a</v>
      </c>
      <c r="H73" s="10" t="str">
        <f aca="false">IF(F73&lt;0,"Negative (check entry)",IF(OR(E73="",E73=0),IF(F73=0,"No Activity","OK"),IF(F73/E73&lt;0.5,"Low Stock",IF(F73/E73&gt;3,"Overstock","OK"))))</f>
        <v>No Activity</v>
      </c>
      <c r="I73" s="16"/>
    </row>
    <row r="74" customFormat="false" ht="15" hidden="false" customHeight="false" outlineLevel="0" collapsed="false">
      <c r="A74" s="15" t="s">
        <v>39</v>
      </c>
      <c r="B74" s="15" t="s">
        <v>46</v>
      </c>
      <c r="C74" s="15" t="s">
        <v>137</v>
      </c>
      <c r="D74" s="15" t="n">
        <v>0</v>
      </c>
      <c r="E74" s="15" t="n">
        <v>0</v>
      </c>
      <c r="F74" s="15" t="n">
        <v>0</v>
      </c>
      <c r="G74" s="10" t="str">
        <f aca="false">IF(OR(E74="",E74=0),"n/a",IF(F74&lt;0,"n/a",ROUND(F74/E74,1)))</f>
        <v>n/a</v>
      </c>
      <c r="H74" s="10" t="str">
        <f aca="false">IF(F74&lt;0,"Negative (check entry)",IF(OR(E74="",E74=0),IF(F74=0,"No Activity","OK"),IF(F74/E74&lt;0.5,"Low Stock",IF(F74/E74&gt;3,"Overstock","OK"))))</f>
        <v>No Activity</v>
      </c>
      <c r="I74" s="16"/>
    </row>
    <row r="75" customFormat="false" ht="15" hidden="false" customHeight="false" outlineLevel="0" collapsed="false">
      <c r="A75" s="15" t="s">
        <v>39</v>
      </c>
      <c r="B75" s="15" t="s">
        <v>46</v>
      </c>
      <c r="C75" s="15" t="s">
        <v>101</v>
      </c>
      <c r="D75" s="15" t="n">
        <v>19776</v>
      </c>
      <c r="E75" s="15" t="n">
        <v>31344</v>
      </c>
      <c r="F75" s="15" t="n">
        <v>9440</v>
      </c>
      <c r="G75" s="10" t="n">
        <f aca="false">IF(OR(E75="",E75=0),"n/a",IF(F75&lt;0,"n/a",ROUND(F75/E75,1)))</f>
        <v>0.3</v>
      </c>
      <c r="H75" s="10" t="str">
        <f aca="false">IF(F75&lt;0,"Negative (check entry)",IF(OR(E75="",E75=0),IF(F75=0,"No Activity","OK"),IF(F75/E75&lt;0.5,"Low Stock",IF(F75/E75&gt;3,"Overstock","OK"))))</f>
        <v>Low Stock</v>
      </c>
      <c r="I75" s="16"/>
    </row>
    <row r="76" customFormat="false" ht="15" hidden="false" customHeight="false" outlineLevel="0" collapsed="false">
      <c r="A76" s="15" t="s">
        <v>39</v>
      </c>
      <c r="B76" s="15" t="s">
        <v>46</v>
      </c>
      <c r="C76" s="15" t="s">
        <v>149</v>
      </c>
      <c r="D76" s="15" t="n">
        <v>0</v>
      </c>
      <c r="E76" s="15" t="n">
        <v>0</v>
      </c>
      <c r="F76" s="15" t="n">
        <v>37</v>
      </c>
      <c r="G76" s="10" t="str">
        <f aca="false">IF(OR(E76="",E76=0),"n/a",IF(F76&lt;0,"n/a",ROUND(F76/E76,1)))</f>
        <v>n/a</v>
      </c>
      <c r="H76" s="10" t="str">
        <f aca="false">IF(F76&lt;0,"Negative (check entry)",IF(OR(E76="",E76=0),IF(F76=0,"No Activity","OK"),IF(F76/E76&lt;0.5,"Low Stock",IF(F76/E76&gt;3,"Overstock","OK"))))</f>
        <v>OK</v>
      </c>
      <c r="I76" s="16"/>
    </row>
    <row r="77" customFormat="false" ht="15" hidden="false" customHeight="false" outlineLevel="0" collapsed="false">
      <c r="A77" s="15" t="s">
        <v>39</v>
      </c>
      <c r="B77" s="15" t="s">
        <v>46</v>
      </c>
      <c r="C77" s="15" t="s">
        <v>102</v>
      </c>
      <c r="D77" s="15" t="n">
        <v>19776</v>
      </c>
      <c r="E77" s="15" t="n">
        <v>31344</v>
      </c>
      <c r="F77" s="15" t="n">
        <v>9477</v>
      </c>
      <c r="G77" s="10" t="n">
        <f aca="false">IF(OR(E77="",E77=0),"n/a",IF(F77&lt;0,"n/a",ROUND(F77/E77,1)))</f>
        <v>0.3</v>
      </c>
      <c r="H77" s="10" t="str">
        <f aca="false">IF(F77&lt;0,"Negative (check entry)",IF(OR(E77="",E77=0),IF(F77=0,"No Activity","OK"),IF(F77/E77&lt;0.5,"Low Stock",IF(F77/E77&gt;3,"Overstock","OK"))))</f>
        <v>Low Stock</v>
      </c>
      <c r="I77" s="16"/>
    </row>
    <row r="78" customFormat="false" ht="15" hidden="false" customHeight="false" outlineLevel="0" collapsed="false">
      <c r="A78" s="15" t="s">
        <v>39</v>
      </c>
      <c r="B78" s="15" t="s">
        <v>46</v>
      </c>
      <c r="C78" s="15" t="s">
        <v>150</v>
      </c>
      <c r="D78" s="15" t="n">
        <v>0</v>
      </c>
      <c r="E78" s="15" t="n">
        <v>0</v>
      </c>
      <c r="F78" s="15" t="n">
        <v>437</v>
      </c>
      <c r="G78" s="10" t="str">
        <f aca="false">IF(OR(E78="",E78=0),"n/a",IF(F78&lt;0,"n/a",ROUND(F78/E78,1)))</f>
        <v>n/a</v>
      </c>
      <c r="H78" s="10" t="str">
        <f aca="false">IF(F78&lt;0,"Negative (check entry)",IF(OR(E78="",E78=0),IF(F78=0,"No Activity","OK"),IF(F78/E78&lt;0.5,"Low Stock",IF(F78/E78&gt;3,"Overstock","OK"))))</f>
        <v>OK</v>
      </c>
      <c r="I78" s="16"/>
    </row>
    <row r="79" customFormat="false" ht="15" hidden="false" customHeight="false" outlineLevel="0" collapsed="false">
      <c r="A79" s="15" t="s">
        <v>39</v>
      </c>
      <c r="B79" s="15" t="s">
        <v>46</v>
      </c>
      <c r="C79" s="15" t="s">
        <v>104</v>
      </c>
      <c r="D79" s="15" t="n">
        <v>19776</v>
      </c>
      <c r="E79" s="15" t="n">
        <v>31344</v>
      </c>
      <c r="F79" s="15" t="n">
        <v>9914</v>
      </c>
      <c r="G79" s="10" t="n">
        <f aca="false">IF(OR(E79="",E79=0),"n/a",IF(F79&lt;0,"n/a",ROUND(F79/E79,1)))</f>
        <v>0.3</v>
      </c>
      <c r="H79" s="10" t="str">
        <f aca="false">IF(F79&lt;0,"Negative (check entry)",IF(OR(E79="",E79=0),IF(F79=0,"No Activity","OK"),IF(F79/E79&lt;0.5,"Low Stock",IF(F79/E79&gt;3,"Overstock","OK"))))</f>
        <v>Low Stock</v>
      </c>
      <c r="I79" s="16"/>
    </row>
    <row r="80" customFormat="false" ht="15" hidden="false" customHeight="false" outlineLevel="0" collapsed="false">
      <c r="A80" s="15" t="s">
        <v>151</v>
      </c>
      <c r="B80" s="15" t="s">
        <v>152</v>
      </c>
      <c r="C80" s="15" t="s">
        <v>79</v>
      </c>
      <c r="D80" s="15" t="n">
        <v>0</v>
      </c>
      <c r="E80" s="15"/>
      <c r="F80" s="15" t="n">
        <v>0</v>
      </c>
      <c r="G80" s="10" t="str">
        <f aca="false">IF(OR(E80="",E80=0),"n/a",IF(F80&lt;0,"n/a",ROUND(F80/E80,1)))</f>
        <v>n/a</v>
      </c>
      <c r="H80" s="10" t="str">
        <f aca="false">IF(F80&lt;0,"Negative (check entry)",IF(OR(E80="",E80=0),IF(F80=0,"No Activity","OK"),IF(F80/E80&lt;0.5,"Low Stock",IF(F80/E80&gt;3,"Overstock","OK"))))</f>
        <v>No Activity</v>
      </c>
      <c r="I80" s="16"/>
    </row>
    <row r="81" customFormat="false" ht="15" hidden="false" customHeight="false" outlineLevel="0" collapsed="false">
      <c r="A81" s="15" t="s">
        <v>151</v>
      </c>
      <c r="B81" s="15" t="s">
        <v>152</v>
      </c>
      <c r="C81" s="15" t="s">
        <v>153</v>
      </c>
      <c r="D81" s="15" t="n">
        <v>0</v>
      </c>
      <c r="E81" s="15"/>
      <c r="F81" s="15" t="n">
        <v>0</v>
      </c>
      <c r="G81" s="10" t="str">
        <f aca="false">IF(OR(E81="",E81=0),"n/a",IF(F81&lt;0,"n/a",ROUND(F81/E81,1)))</f>
        <v>n/a</v>
      </c>
      <c r="H81" s="10" t="str">
        <f aca="false">IF(F81&lt;0,"Negative (check entry)",IF(OR(E81="",E81=0),IF(F81=0,"No Activity","OK"),IF(F81/E81&lt;0.5,"Low Stock",IF(F81/E81&gt;3,"Overstock","OK"))))</f>
        <v>No Activity</v>
      </c>
      <c r="I81" s="16"/>
    </row>
    <row r="82" customFormat="false" ht="15" hidden="false" customHeight="false" outlineLevel="0" collapsed="false">
      <c r="A82" s="15" t="s">
        <v>151</v>
      </c>
      <c r="B82" s="15" t="s">
        <v>152</v>
      </c>
      <c r="C82" s="15" t="s">
        <v>154</v>
      </c>
      <c r="D82" s="15" t="n">
        <v>0</v>
      </c>
      <c r="E82" s="15"/>
      <c r="F82" s="15" t="n">
        <v>0</v>
      </c>
      <c r="G82" s="10" t="str">
        <f aca="false">IF(OR(E82="",E82=0),"n/a",IF(F82&lt;0,"n/a",ROUND(F82/E82,1)))</f>
        <v>n/a</v>
      </c>
      <c r="H82" s="10" t="str">
        <f aca="false">IF(F82&lt;0,"Negative (check entry)",IF(OR(E82="",E82=0),IF(F82=0,"No Activity","OK"),IF(F82/E82&lt;0.5,"Low Stock",IF(F82/E82&gt;3,"Overstock","OK"))))</f>
        <v>No Activity</v>
      </c>
      <c r="I82" s="16"/>
    </row>
    <row r="83" customFormat="false" ht="15" hidden="false" customHeight="false" outlineLevel="0" collapsed="false">
      <c r="A83" s="15" t="s">
        <v>151</v>
      </c>
      <c r="B83" s="15" t="s">
        <v>152</v>
      </c>
      <c r="C83" s="15" t="s">
        <v>155</v>
      </c>
      <c r="D83" s="15" t="n">
        <v>0</v>
      </c>
      <c r="E83" s="15"/>
      <c r="F83" s="15" t="n">
        <v>0</v>
      </c>
      <c r="G83" s="10" t="str">
        <f aca="false">IF(OR(E83="",E83=0),"n/a",IF(F83&lt;0,"n/a",ROUND(F83/E83,1)))</f>
        <v>n/a</v>
      </c>
      <c r="H83" s="10" t="str">
        <f aca="false">IF(F83&lt;0,"Negative (check entry)",IF(OR(E83="",E83=0),IF(F83=0,"No Activity","OK"),IF(F83/E83&lt;0.5,"Low Stock",IF(F83/E83&gt;3,"Overstock","OK"))))</f>
        <v>No Activity</v>
      </c>
      <c r="I83" s="16"/>
    </row>
    <row r="84" customFormat="false" ht="15" hidden="false" customHeight="false" outlineLevel="0" collapsed="false">
      <c r="A84" s="15" t="s">
        <v>151</v>
      </c>
      <c r="B84" s="15" t="s">
        <v>152</v>
      </c>
      <c r="C84" s="15" t="s">
        <v>107</v>
      </c>
      <c r="D84" s="15" t="n">
        <v>0</v>
      </c>
      <c r="E84" s="15"/>
      <c r="F84" s="15" t="n">
        <v>0</v>
      </c>
      <c r="G84" s="10" t="str">
        <f aca="false">IF(OR(E84="",E84=0),"n/a",IF(F84&lt;0,"n/a",ROUND(F84/E84,1)))</f>
        <v>n/a</v>
      </c>
      <c r="H84" s="10" t="str">
        <f aca="false">IF(F84&lt;0,"Negative (check entry)",IF(OR(E84="",E84=0),IF(F84=0,"No Activity","OK"),IF(F84/E84&lt;0.5,"Low Stock",IF(F84/E84&gt;3,"Overstock","OK"))))</f>
        <v>No Activity</v>
      </c>
      <c r="I84" s="16"/>
    </row>
    <row r="85" customFormat="false" ht="15" hidden="false" customHeight="false" outlineLevel="0" collapsed="false">
      <c r="A85" s="15" t="s">
        <v>151</v>
      </c>
      <c r="B85" s="15" t="s">
        <v>152</v>
      </c>
      <c r="C85" s="15" t="s">
        <v>52</v>
      </c>
      <c r="D85" s="15" t="n">
        <v>0</v>
      </c>
      <c r="E85" s="15"/>
      <c r="F85" s="15" t="n">
        <v>0</v>
      </c>
      <c r="G85" s="10" t="str">
        <f aca="false">IF(OR(E85="",E85=0),"n/a",IF(F85&lt;0,"n/a",ROUND(F85/E85,1)))</f>
        <v>n/a</v>
      </c>
      <c r="H85" s="10" t="str">
        <f aca="false">IF(F85&lt;0,"Negative (check entry)",IF(OR(E85="",E85=0),IF(F85=0,"No Activity","OK"),IF(F85/E85&lt;0.5,"Low Stock",IF(F85/E85&gt;3,"Overstock","OK"))))</f>
        <v>No Activity</v>
      </c>
      <c r="I85" s="16"/>
    </row>
    <row r="86" customFormat="false" ht="15" hidden="false" customHeight="false" outlineLevel="0" collapsed="false">
      <c r="A86" s="15" t="s">
        <v>151</v>
      </c>
      <c r="B86" s="15" t="s">
        <v>152</v>
      </c>
      <c r="C86" s="15" t="s">
        <v>156</v>
      </c>
      <c r="D86" s="15" t="n">
        <v>0</v>
      </c>
      <c r="E86" s="15"/>
      <c r="F86" s="15" t="n">
        <v>0</v>
      </c>
      <c r="G86" s="10" t="str">
        <f aca="false">IF(OR(E86="",E86=0),"n/a",IF(F86&lt;0,"n/a",ROUND(F86/E86,1)))</f>
        <v>n/a</v>
      </c>
      <c r="H86" s="10" t="str">
        <f aca="false">IF(F86&lt;0,"Negative (check entry)",IF(OR(E86="",E86=0),IF(F86=0,"No Activity","OK"),IF(F86/E86&lt;0.5,"Low Stock",IF(F86/E86&gt;3,"Overstock","OK"))))</f>
        <v>No Activity</v>
      </c>
      <c r="I86" s="16"/>
    </row>
    <row r="87" customFormat="false" ht="15" hidden="false" customHeight="false" outlineLevel="0" collapsed="false">
      <c r="A87" s="15" t="s">
        <v>151</v>
      </c>
      <c r="B87" s="15" t="s">
        <v>152</v>
      </c>
      <c r="C87" s="15" t="s">
        <v>82</v>
      </c>
      <c r="D87" s="15" t="n">
        <v>0</v>
      </c>
      <c r="E87" s="15"/>
      <c r="F87" s="15" t="n">
        <v>0</v>
      </c>
      <c r="G87" s="10" t="str">
        <f aca="false">IF(OR(E87="",E87=0),"n/a",IF(F87&lt;0,"n/a",ROUND(F87/E87,1)))</f>
        <v>n/a</v>
      </c>
      <c r="H87" s="10" t="str">
        <f aca="false">IF(F87&lt;0,"Negative (check entry)",IF(OR(E87="",E87=0),IF(F87=0,"No Activity","OK"),IF(F87/E87&lt;0.5,"Low Stock",IF(F87/E87&gt;3,"Overstock","OK"))))</f>
        <v>No Activity</v>
      </c>
      <c r="I87" s="16"/>
    </row>
    <row r="88" customFormat="false" ht="15" hidden="false" customHeight="false" outlineLevel="0" collapsed="false">
      <c r="A88" s="15" t="s">
        <v>151</v>
      </c>
      <c r="B88" s="15" t="s">
        <v>152</v>
      </c>
      <c r="C88" s="15" t="s">
        <v>157</v>
      </c>
      <c r="D88" s="15" t="n">
        <v>0</v>
      </c>
      <c r="E88" s="15"/>
      <c r="F88" s="15" t="n">
        <v>0</v>
      </c>
      <c r="G88" s="10" t="str">
        <f aca="false">IF(OR(E88="",E88=0),"n/a",IF(F88&lt;0,"n/a",ROUND(F88/E88,1)))</f>
        <v>n/a</v>
      </c>
      <c r="H88" s="10" t="str">
        <f aca="false">IF(F88&lt;0,"Negative (check entry)",IF(OR(E88="",E88=0),IF(F88=0,"No Activity","OK"),IF(F88/E88&lt;0.5,"Low Stock",IF(F88/E88&gt;3,"Overstock","OK"))))</f>
        <v>No Activity</v>
      </c>
      <c r="I88" s="16"/>
    </row>
    <row r="89" customFormat="false" ht="15" hidden="false" customHeight="false" outlineLevel="0" collapsed="false">
      <c r="A89" s="15" t="s">
        <v>151</v>
      </c>
      <c r="B89" s="15" t="s">
        <v>152</v>
      </c>
      <c r="C89" s="15" t="s">
        <v>59</v>
      </c>
      <c r="D89" s="15" t="n">
        <v>208</v>
      </c>
      <c r="E89" s="15"/>
      <c r="F89" s="15" t="n">
        <v>512</v>
      </c>
      <c r="G89" s="10" t="str">
        <f aca="false">IF(OR(E89="",E89=0),"n/a",IF(F89&lt;0,"n/a",ROUND(F89/E89,1)))</f>
        <v>n/a</v>
      </c>
      <c r="H89" s="10" t="str">
        <f aca="false">IF(F89&lt;0,"Negative (check entry)",IF(OR(E89="",E89=0),IF(F89=0,"No Activity","OK"),IF(F89/E89&lt;0.5,"Low Stock",IF(F89/E89&gt;3,"Overstock","OK"))))</f>
        <v>OK</v>
      </c>
      <c r="I89" s="16"/>
    </row>
    <row r="90" customFormat="false" ht="15" hidden="false" customHeight="false" outlineLevel="0" collapsed="false">
      <c r="A90" s="15" t="s">
        <v>151</v>
      </c>
      <c r="B90" s="15" t="s">
        <v>152</v>
      </c>
      <c r="C90" s="15" t="s">
        <v>73</v>
      </c>
      <c r="D90" s="15" t="n">
        <v>0</v>
      </c>
      <c r="E90" s="15"/>
      <c r="F90" s="15" t="n">
        <v>0</v>
      </c>
      <c r="G90" s="10" t="str">
        <f aca="false">IF(OR(E90="",E90=0),"n/a",IF(F90&lt;0,"n/a",ROUND(F90/E90,1)))</f>
        <v>n/a</v>
      </c>
      <c r="H90" s="10" t="str">
        <f aca="false">IF(F90&lt;0,"Negative (check entry)",IF(OR(E90="",E90=0),IF(F90=0,"No Activity","OK"),IF(F90/E90&lt;0.5,"Low Stock",IF(F90/E90&gt;3,"Overstock","OK"))))</f>
        <v>No Activity</v>
      </c>
      <c r="I90" s="16"/>
    </row>
    <row r="91" customFormat="false" ht="15" hidden="false" customHeight="false" outlineLevel="0" collapsed="false">
      <c r="A91" s="15" t="s">
        <v>151</v>
      </c>
      <c r="B91" s="15" t="s">
        <v>152</v>
      </c>
      <c r="C91" s="15" t="s">
        <v>119</v>
      </c>
      <c r="D91" s="15" t="n">
        <v>288</v>
      </c>
      <c r="E91" s="15"/>
      <c r="F91" s="15" t="n">
        <v>288</v>
      </c>
      <c r="G91" s="10" t="str">
        <f aca="false">IF(OR(E91="",E91=0),"n/a",IF(F91&lt;0,"n/a",ROUND(F91/E91,1)))</f>
        <v>n/a</v>
      </c>
      <c r="H91" s="10" t="str">
        <f aca="false">IF(F91&lt;0,"Negative (check entry)",IF(OR(E91="",E91=0),IF(F91=0,"No Activity","OK"),IF(F91/E91&lt;0.5,"Low Stock",IF(F91/E91&gt;3,"Overstock","OK"))))</f>
        <v>OK</v>
      </c>
      <c r="I91" s="16"/>
    </row>
    <row r="92" customFormat="false" ht="15" hidden="false" customHeight="false" outlineLevel="0" collapsed="false">
      <c r="A92" s="15" t="s">
        <v>151</v>
      </c>
      <c r="B92" s="15" t="s">
        <v>152</v>
      </c>
      <c r="C92" s="15" t="s">
        <v>42</v>
      </c>
      <c r="D92" s="15" t="n">
        <v>0</v>
      </c>
      <c r="E92" s="15"/>
      <c r="F92" s="15" t="n">
        <v>0</v>
      </c>
      <c r="G92" s="10" t="str">
        <f aca="false">IF(OR(E92="",E92=0),"n/a",IF(F92&lt;0,"n/a",ROUND(F92/E92,1)))</f>
        <v>n/a</v>
      </c>
      <c r="H92" s="10" t="str">
        <f aca="false">IF(F92&lt;0,"Negative (check entry)",IF(OR(E92="",E92=0),IF(F92=0,"No Activity","OK"),IF(F92/E92&lt;0.5,"Low Stock",IF(F92/E92&gt;3,"Overstock","OK"))))</f>
        <v>No Activity</v>
      </c>
      <c r="I92" s="16"/>
    </row>
    <row r="93" customFormat="false" ht="15" hidden="false" customHeight="false" outlineLevel="0" collapsed="false">
      <c r="A93" s="15" t="s">
        <v>151</v>
      </c>
      <c r="B93" s="15" t="s">
        <v>152</v>
      </c>
      <c r="C93" s="15" t="s">
        <v>80</v>
      </c>
      <c r="D93" s="15" t="n">
        <v>0</v>
      </c>
      <c r="E93" s="15"/>
      <c r="F93" s="15" t="n">
        <v>0</v>
      </c>
      <c r="G93" s="10" t="str">
        <f aca="false">IF(OR(E93="",E93=0),"n/a",IF(F93&lt;0,"n/a",ROUND(F93/E93,1)))</f>
        <v>n/a</v>
      </c>
      <c r="H93" s="10" t="str">
        <f aca="false">IF(F93&lt;0,"Negative (check entry)",IF(OR(E93="",E93=0),IF(F93=0,"No Activity","OK"),IF(F93/E93&lt;0.5,"Low Stock",IF(F93/E93&gt;3,"Overstock","OK"))))</f>
        <v>No Activity</v>
      </c>
      <c r="I93" s="16"/>
    </row>
    <row r="94" customFormat="false" ht="15" hidden="false" customHeight="false" outlineLevel="0" collapsed="false">
      <c r="A94" s="15" t="s">
        <v>151</v>
      </c>
      <c r="B94" s="15" t="s">
        <v>152</v>
      </c>
      <c r="C94" s="15" t="s">
        <v>38</v>
      </c>
      <c r="D94" s="15" t="n">
        <v>0</v>
      </c>
      <c r="E94" s="15"/>
      <c r="F94" s="15" t="n">
        <v>1232</v>
      </c>
      <c r="G94" s="10" t="str">
        <f aca="false">IF(OR(E94="",E94=0),"n/a",IF(F94&lt;0,"n/a",ROUND(F94/E94,1)))</f>
        <v>n/a</v>
      </c>
      <c r="H94" s="10" t="str">
        <f aca="false">IF(F94&lt;0,"Negative (check entry)",IF(OR(E94="",E94=0),IF(F94=0,"No Activity","OK"),IF(F94/E94&lt;0.5,"Low Stock",IF(F94/E94&gt;3,"Overstock","OK"))))</f>
        <v>OK</v>
      </c>
      <c r="I94" s="16"/>
    </row>
    <row r="95" customFormat="false" ht="15" hidden="false" customHeight="false" outlineLevel="0" collapsed="false">
      <c r="A95" s="15" t="s">
        <v>151</v>
      </c>
      <c r="B95" s="15" t="s">
        <v>152</v>
      </c>
      <c r="C95" s="15" t="s">
        <v>101</v>
      </c>
      <c r="D95" s="15" t="n">
        <v>496</v>
      </c>
      <c r="E95" s="15"/>
      <c r="F95" s="15" t="n">
        <v>2032</v>
      </c>
      <c r="G95" s="10" t="str">
        <f aca="false">IF(OR(E95="",E95=0),"n/a",IF(F95&lt;0,"n/a",ROUND(F95/E95,1)))</f>
        <v>n/a</v>
      </c>
      <c r="H95" s="10" t="str">
        <f aca="false">IF(F95&lt;0,"Negative (check entry)",IF(OR(E95="",E95=0),IF(F95=0,"No Activity","OK"),IF(F95/E95&lt;0.5,"Low Stock",IF(F95/E95&gt;3,"Overstock","OK"))))</f>
        <v>OK</v>
      </c>
      <c r="I95" s="16"/>
    </row>
    <row r="96" customFormat="false" ht="15" hidden="false" customHeight="false" outlineLevel="0" collapsed="false">
      <c r="A96" s="15" t="s">
        <v>151</v>
      </c>
      <c r="B96" s="15" t="s">
        <v>152</v>
      </c>
      <c r="C96" s="15" t="s">
        <v>149</v>
      </c>
      <c r="D96" s="15" t="n">
        <v>0</v>
      </c>
      <c r="E96" s="15"/>
      <c r="F96" s="15" t="n">
        <v>8</v>
      </c>
      <c r="G96" s="10" t="str">
        <f aca="false">IF(OR(E96="",E96=0),"n/a",IF(F96&lt;0,"n/a",ROUND(F96/E96,1)))</f>
        <v>n/a</v>
      </c>
      <c r="H96" s="10" t="str">
        <f aca="false">IF(F96&lt;0,"Negative (check entry)",IF(OR(E96="",E96=0),IF(F96=0,"No Activity","OK"),IF(F96/E96&lt;0.5,"Low Stock",IF(F96/E96&gt;3,"Overstock","OK"))))</f>
        <v>OK</v>
      </c>
      <c r="I96" s="16"/>
    </row>
    <row r="97" customFormat="false" ht="15" hidden="false" customHeight="false" outlineLevel="0" collapsed="false">
      <c r="A97" s="15" t="s">
        <v>151</v>
      </c>
      <c r="B97" s="15" t="s">
        <v>152</v>
      </c>
      <c r="C97" s="15" t="s">
        <v>102</v>
      </c>
      <c r="D97" s="15" t="n">
        <v>496</v>
      </c>
      <c r="E97" s="15"/>
      <c r="F97" s="15" t="n">
        <v>2040</v>
      </c>
      <c r="G97" s="10" t="str">
        <f aca="false">IF(OR(E97="",E97=0),"n/a",IF(F97&lt;0,"n/a",ROUND(F97/E97,1)))</f>
        <v>n/a</v>
      </c>
      <c r="H97" s="10" t="str">
        <f aca="false">IF(F97&lt;0,"Negative (check entry)",IF(OR(E97="",E97=0),IF(F97=0,"No Activity","OK"),IF(F97/E97&lt;0.5,"Low Stock",IF(F97/E97&gt;3,"Overstock","OK"))))</f>
        <v>OK</v>
      </c>
      <c r="I97" s="16"/>
    </row>
    <row r="98" customFormat="false" ht="15" hidden="false" customHeight="false" outlineLevel="0" collapsed="false">
      <c r="A98" s="15" t="s">
        <v>151</v>
      </c>
      <c r="B98" s="15" t="s">
        <v>152</v>
      </c>
      <c r="C98" s="15" t="s">
        <v>150</v>
      </c>
      <c r="D98" s="15" t="n">
        <v>0</v>
      </c>
      <c r="E98" s="15"/>
      <c r="F98" s="15" t="n">
        <v>35</v>
      </c>
      <c r="G98" s="10" t="str">
        <f aca="false">IF(OR(E98="",E98=0),"n/a",IF(F98&lt;0,"n/a",ROUND(F98/E98,1)))</f>
        <v>n/a</v>
      </c>
      <c r="H98" s="10" t="str">
        <f aca="false">IF(F98&lt;0,"Negative (check entry)",IF(OR(E98="",E98=0),IF(F98=0,"No Activity","OK"),IF(F98/E98&lt;0.5,"Low Stock",IF(F98/E98&gt;3,"Overstock","OK"))))</f>
        <v>OK</v>
      </c>
      <c r="I98" s="16"/>
    </row>
    <row r="99" customFormat="false" ht="15" hidden="false" customHeight="false" outlineLevel="0" collapsed="false">
      <c r="A99" s="15" t="s">
        <v>151</v>
      </c>
      <c r="B99" s="15" t="s">
        <v>152</v>
      </c>
      <c r="C99" s="15" t="s">
        <v>104</v>
      </c>
      <c r="D99" s="15" t="n">
        <v>496</v>
      </c>
      <c r="E99" s="15"/>
      <c r="F99" s="15" t="n">
        <v>2075</v>
      </c>
      <c r="G99" s="10" t="str">
        <f aca="false">IF(OR(E99="",E99=0),"n/a",IF(F99&lt;0,"n/a",ROUND(F99/E99,1)))</f>
        <v>n/a</v>
      </c>
      <c r="H99" s="10" t="str">
        <f aca="false">IF(F99&lt;0,"Negative (check entry)",IF(OR(E99="",E99=0),IF(F99=0,"No Activity","OK"),IF(F99/E99&lt;0.5,"Low Stock",IF(F99/E99&gt;3,"Overstock","OK"))))</f>
        <v>OK</v>
      </c>
      <c r="I99" s="16"/>
    </row>
    <row r="100" customFormat="false" ht="15" hidden="false" customHeight="false" outlineLevel="0" collapsed="false">
      <c r="A100" s="15" t="s">
        <v>109</v>
      </c>
      <c r="B100" s="15" t="s">
        <v>110</v>
      </c>
      <c r="C100" s="15" t="s">
        <v>158</v>
      </c>
      <c r="D100" s="15" t="n">
        <v>0</v>
      </c>
      <c r="E100" s="15" t="n">
        <v>0</v>
      </c>
      <c r="F100" s="15" t="n">
        <v>0</v>
      </c>
      <c r="G100" s="10" t="str">
        <f aca="false">IF(OR(E100="",E100=0),"n/a",IF(F100&lt;0,"n/a",ROUND(F100/E100,1)))</f>
        <v>n/a</v>
      </c>
      <c r="H100" s="10" t="str">
        <f aca="false">IF(F100&lt;0,"Negative (check entry)",IF(OR(E100="",E100=0),IF(F100=0,"No Activity","OK"),IF(F100/E100&lt;0.5,"Low Stock",IF(F100/E100&gt;3,"Overstock","OK"))))</f>
        <v>No Activity</v>
      </c>
      <c r="I100" s="16"/>
    </row>
    <row r="101" customFormat="false" ht="15" hidden="false" customHeight="false" outlineLevel="0" collapsed="false">
      <c r="A101" s="15" t="s">
        <v>109</v>
      </c>
      <c r="B101" s="15" t="s">
        <v>110</v>
      </c>
      <c r="C101" s="15" t="s">
        <v>159</v>
      </c>
      <c r="D101" s="15" t="n">
        <v>0</v>
      </c>
      <c r="E101" s="15" t="n">
        <v>0</v>
      </c>
      <c r="F101" s="15" t="n">
        <v>0</v>
      </c>
      <c r="G101" s="10" t="str">
        <f aca="false">IF(OR(E101="",E101=0),"n/a",IF(F101&lt;0,"n/a",ROUND(F101/E101,1)))</f>
        <v>n/a</v>
      </c>
      <c r="H101" s="10" t="str">
        <f aca="false">IF(F101&lt;0,"Negative (check entry)",IF(OR(E101="",E101=0),IF(F101=0,"No Activity","OK"),IF(F101/E101&lt;0.5,"Low Stock",IF(F101/E101&gt;3,"Overstock","OK"))))</f>
        <v>No Activity</v>
      </c>
      <c r="I101" s="16"/>
    </row>
    <row r="102" customFormat="false" ht="15" hidden="false" customHeight="false" outlineLevel="0" collapsed="false">
      <c r="A102" s="15" t="s">
        <v>109</v>
      </c>
      <c r="B102" s="15" t="s">
        <v>110</v>
      </c>
      <c r="C102" s="15" t="s">
        <v>160</v>
      </c>
      <c r="D102" s="15" t="n">
        <v>0</v>
      </c>
      <c r="E102" s="15" t="n">
        <v>0</v>
      </c>
      <c r="F102" s="15" t="n">
        <v>0</v>
      </c>
      <c r="G102" s="10" t="str">
        <f aca="false">IF(OR(E102="",E102=0),"n/a",IF(F102&lt;0,"n/a",ROUND(F102/E102,1)))</f>
        <v>n/a</v>
      </c>
      <c r="H102" s="10" t="str">
        <f aca="false">IF(F102&lt;0,"Negative (check entry)",IF(OR(E102="",E102=0),IF(F102=0,"No Activity","OK"),IF(F102/E102&lt;0.5,"Low Stock",IF(F102/E102&gt;3,"Overstock","OK"))))</f>
        <v>No Activity</v>
      </c>
      <c r="I102" s="16"/>
    </row>
    <row r="103" customFormat="false" ht="15" hidden="false" customHeight="false" outlineLevel="0" collapsed="false">
      <c r="A103" s="15" t="s">
        <v>109</v>
      </c>
      <c r="B103" s="15" t="s">
        <v>110</v>
      </c>
      <c r="C103" s="15" t="s">
        <v>161</v>
      </c>
      <c r="D103" s="15" t="n">
        <v>0</v>
      </c>
      <c r="E103" s="15" t="n">
        <v>0</v>
      </c>
      <c r="F103" s="15" t="n">
        <v>0</v>
      </c>
      <c r="G103" s="10" t="str">
        <f aca="false">IF(OR(E103="",E103=0),"n/a",IF(F103&lt;0,"n/a",ROUND(F103/E103,1)))</f>
        <v>n/a</v>
      </c>
      <c r="H103" s="10" t="str">
        <f aca="false">IF(F103&lt;0,"Negative (check entry)",IF(OR(E103="",E103=0),IF(F103=0,"No Activity","OK"),IF(F103/E103&lt;0.5,"Low Stock",IF(F103/E103&gt;3,"Overstock","OK"))))</f>
        <v>No Activity</v>
      </c>
      <c r="I103" s="16"/>
    </row>
    <row r="104" customFormat="false" ht="15" hidden="false" customHeight="false" outlineLevel="0" collapsed="false">
      <c r="A104" s="15" t="s">
        <v>109</v>
      </c>
      <c r="B104" s="15" t="s">
        <v>110</v>
      </c>
      <c r="C104" s="15" t="s">
        <v>111</v>
      </c>
      <c r="D104" s="15" t="n">
        <v>352</v>
      </c>
      <c r="E104" s="15" t="n">
        <v>256</v>
      </c>
      <c r="F104" s="15" t="n">
        <v>96</v>
      </c>
      <c r="G104" s="10" t="n">
        <f aca="false">IF(OR(E104="",E104=0),"n/a",IF(F104&lt;0,"n/a",ROUND(F104/E104,1)))</f>
        <v>0.4</v>
      </c>
      <c r="H104" s="10" t="str">
        <f aca="false">IF(F104&lt;0,"Negative (check entry)",IF(OR(E104="",E104=0),IF(F104=0,"No Activity","OK"),IF(F104/E104&lt;0.5,"Low Stock",IF(F104/E104&gt;3,"Overstock","OK"))))</f>
        <v>Low Stock</v>
      </c>
      <c r="I104" s="16"/>
    </row>
    <row r="105" customFormat="false" ht="15" hidden="false" customHeight="false" outlineLevel="0" collapsed="false">
      <c r="A105" s="15" t="s">
        <v>109</v>
      </c>
      <c r="B105" s="15" t="s">
        <v>110</v>
      </c>
      <c r="C105" s="15" t="s">
        <v>162</v>
      </c>
      <c r="D105" s="15" t="n">
        <v>0</v>
      </c>
      <c r="E105" s="15" t="n">
        <v>0</v>
      </c>
      <c r="F105" s="15" t="n">
        <v>0</v>
      </c>
      <c r="G105" s="10" t="str">
        <f aca="false">IF(OR(E105="",E105=0),"n/a",IF(F105&lt;0,"n/a",ROUND(F105/E105,1)))</f>
        <v>n/a</v>
      </c>
      <c r="H105" s="10" t="str">
        <f aca="false">IF(F105&lt;0,"Negative (check entry)",IF(OR(E105="",E105=0),IF(F105=0,"No Activity","OK"),IF(F105/E105&lt;0.5,"Low Stock",IF(F105/E105&gt;3,"Overstock","OK"))))</f>
        <v>No Activity</v>
      </c>
      <c r="I105" s="16"/>
    </row>
    <row r="106" customFormat="false" ht="15" hidden="false" customHeight="false" outlineLevel="0" collapsed="false">
      <c r="A106" s="15" t="s">
        <v>109</v>
      </c>
      <c r="B106" s="15" t="s">
        <v>110</v>
      </c>
      <c r="C106" s="15" t="s">
        <v>163</v>
      </c>
      <c r="D106" s="15" t="n">
        <v>0</v>
      </c>
      <c r="E106" s="15" t="n">
        <v>0</v>
      </c>
      <c r="F106" s="15" t="n">
        <v>0</v>
      </c>
      <c r="G106" s="10" t="str">
        <f aca="false">IF(OR(E106="",E106=0),"n/a",IF(F106&lt;0,"n/a",ROUND(F106/E106,1)))</f>
        <v>n/a</v>
      </c>
      <c r="H106" s="10" t="str">
        <f aca="false">IF(F106&lt;0,"Negative (check entry)",IF(OR(E106="",E106=0),IF(F106=0,"No Activity","OK"),IF(F106/E106&lt;0.5,"Low Stock",IF(F106/E106&gt;3,"Overstock","OK"))))</f>
        <v>No Activity</v>
      </c>
      <c r="I106" s="16"/>
    </row>
    <row r="107" customFormat="false" ht="15" hidden="false" customHeight="false" outlineLevel="0" collapsed="false">
      <c r="A107" s="15" t="s">
        <v>109</v>
      </c>
      <c r="B107" s="15" t="s">
        <v>110</v>
      </c>
      <c r="C107" s="15" t="s">
        <v>164</v>
      </c>
      <c r="D107" s="15" t="n">
        <v>0</v>
      </c>
      <c r="E107" s="15" t="n">
        <v>0</v>
      </c>
      <c r="F107" s="15" t="n">
        <v>0</v>
      </c>
      <c r="G107" s="10" t="str">
        <f aca="false">IF(OR(E107="",E107=0),"n/a",IF(F107&lt;0,"n/a",ROUND(F107/E107,1)))</f>
        <v>n/a</v>
      </c>
      <c r="H107" s="10" t="str">
        <f aca="false">IF(F107&lt;0,"Negative (check entry)",IF(OR(E107="",E107=0),IF(F107=0,"No Activity","OK"),IF(F107/E107&lt;0.5,"Low Stock",IF(F107/E107&gt;3,"Overstock","OK"))))</f>
        <v>No Activity</v>
      </c>
      <c r="I107" s="16"/>
    </row>
    <row r="108" customFormat="false" ht="15" hidden="false" customHeight="false" outlineLevel="0" collapsed="false">
      <c r="A108" s="15" t="s">
        <v>109</v>
      </c>
      <c r="B108" s="15" t="s">
        <v>165</v>
      </c>
      <c r="C108" s="15" t="s">
        <v>79</v>
      </c>
      <c r="D108" s="15" t="n">
        <v>0</v>
      </c>
      <c r="E108" s="15" t="n">
        <v>0</v>
      </c>
      <c r="F108" s="15" t="n">
        <v>0</v>
      </c>
      <c r="G108" s="10" t="str">
        <f aca="false">IF(OR(E108="",E108=0),"n/a",IF(F108&lt;0,"n/a",ROUND(F108/E108,1)))</f>
        <v>n/a</v>
      </c>
      <c r="H108" s="10" t="str">
        <f aca="false">IF(F108&lt;0,"Negative (check entry)",IF(OR(E108="",E108=0),IF(F108=0,"No Activity","OK"),IF(F108/E108&lt;0.5,"Low Stock",IF(F108/E108&gt;3,"Overstock","OK"))))</f>
        <v>No Activity</v>
      </c>
      <c r="I108" s="16"/>
    </row>
    <row r="109" customFormat="false" ht="15" hidden="false" customHeight="false" outlineLevel="0" collapsed="false">
      <c r="A109" s="15" t="s">
        <v>109</v>
      </c>
      <c r="B109" s="15" t="s">
        <v>165</v>
      </c>
      <c r="C109" s="15" t="s">
        <v>98</v>
      </c>
      <c r="D109" s="15" t="n">
        <v>304</v>
      </c>
      <c r="E109" s="15" t="n">
        <v>464</v>
      </c>
      <c r="F109" s="15" t="n">
        <v>480</v>
      </c>
      <c r="G109" s="10" t="n">
        <f aca="false">IF(OR(E109="",E109=0),"n/a",IF(F109&lt;0,"n/a",ROUND(F109/E109,1)))</f>
        <v>1</v>
      </c>
      <c r="H109" s="10" t="str">
        <f aca="false">IF(F109&lt;0,"Negative (check entry)",IF(OR(E109="",E109=0),IF(F109=0,"No Activity","OK"),IF(F109/E109&lt;0.5,"Low Stock",IF(F109/E109&gt;3,"Overstock","OK"))))</f>
        <v>OK</v>
      </c>
      <c r="I109" s="16"/>
    </row>
    <row r="110" customFormat="false" ht="15" hidden="false" customHeight="false" outlineLevel="0" collapsed="false">
      <c r="A110" s="15" t="s">
        <v>109</v>
      </c>
      <c r="B110" s="15" t="s">
        <v>165</v>
      </c>
      <c r="C110" s="15" t="s">
        <v>166</v>
      </c>
      <c r="D110" s="15" t="n">
        <v>560</v>
      </c>
      <c r="E110" s="15" t="n">
        <v>0</v>
      </c>
      <c r="F110" s="15" t="n">
        <v>560</v>
      </c>
      <c r="G110" s="10" t="str">
        <f aca="false">IF(OR(E110="",E110=0),"n/a",IF(F110&lt;0,"n/a",ROUND(F110/E110,1)))</f>
        <v>n/a</v>
      </c>
      <c r="H110" s="10" t="str">
        <f aca="false">IF(F110&lt;0,"Negative (check entry)",IF(OR(E110="",E110=0),IF(F110=0,"No Activity","OK"),IF(F110/E110&lt;0.5,"Low Stock",IF(F110/E110&gt;3,"Overstock","OK"))))</f>
        <v>OK</v>
      </c>
      <c r="I110" s="16"/>
    </row>
    <row r="111" customFormat="false" ht="15" hidden="false" customHeight="false" outlineLevel="0" collapsed="false">
      <c r="A111" s="15" t="s">
        <v>109</v>
      </c>
      <c r="B111" s="15" t="s">
        <v>165</v>
      </c>
      <c r="C111" s="15" t="s">
        <v>167</v>
      </c>
      <c r="D111" s="15" t="n">
        <v>1856</v>
      </c>
      <c r="E111" s="15" t="n">
        <v>528</v>
      </c>
      <c r="F111" s="15" t="n">
        <v>1328</v>
      </c>
      <c r="G111" s="10" t="n">
        <f aca="false">IF(OR(E111="",E111=0),"n/a",IF(F111&lt;0,"n/a",ROUND(F111/E111,1)))</f>
        <v>2.5</v>
      </c>
      <c r="H111" s="10" t="str">
        <f aca="false">IF(F111&lt;0,"Negative (check entry)",IF(OR(E111="",E111=0),IF(F111=0,"No Activity","OK"),IF(F111/E111&lt;0.5,"Low Stock",IF(F111/E111&gt;3,"Overstock","OK"))))</f>
        <v>OK</v>
      </c>
      <c r="I111" s="16"/>
    </row>
    <row r="112" customFormat="false" ht="15" hidden="false" customHeight="false" outlineLevel="0" collapsed="false">
      <c r="A112" s="15" t="s">
        <v>109</v>
      </c>
      <c r="B112" s="15" t="s">
        <v>165</v>
      </c>
      <c r="C112" s="15" t="s">
        <v>119</v>
      </c>
      <c r="D112" s="15" t="n">
        <v>32</v>
      </c>
      <c r="E112" s="15" t="n">
        <v>0</v>
      </c>
      <c r="F112" s="15" t="n">
        <v>32</v>
      </c>
      <c r="G112" s="10" t="str">
        <f aca="false">IF(OR(E112="",E112=0),"n/a",IF(F112&lt;0,"n/a",ROUND(F112/E112,1)))</f>
        <v>n/a</v>
      </c>
      <c r="H112" s="10" t="str">
        <f aca="false">IF(F112&lt;0,"Negative (check entry)",IF(OR(E112="",E112=0),IF(F112=0,"No Activity","OK"),IF(F112/E112&lt;0.5,"Low Stock",IF(F112/E112&gt;3,"Overstock","OK"))))</f>
        <v>OK</v>
      </c>
      <c r="I112" s="16"/>
    </row>
    <row r="113" customFormat="false" ht="15" hidden="false" customHeight="false" outlineLevel="0" collapsed="false">
      <c r="A113" s="15" t="s">
        <v>109</v>
      </c>
      <c r="B113" s="15" t="s">
        <v>165</v>
      </c>
      <c r="C113" s="15" t="s">
        <v>38</v>
      </c>
      <c r="D113" s="15" t="n">
        <v>2544</v>
      </c>
      <c r="E113" s="15" t="n">
        <v>960</v>
      </c>
      <c r="F113" s="15" t="n">
        <v>1584</v>
      </c>
      <c r="G113" s="10" t="n">
        <f aca="false">IF(OR(E113="",E113=0),"n/a",IF(F113&lt;0,"n/a",ROUND(F113/E113,1)))</f>
        <v>1.7</v>
      </c>
      <c r="H113" s="10" t="str">
        <f aca="false">IF(F113&lt;0,"Negative (check entry)",IF(OR(E113="",E113=0),IF(F113=0,"No Activity","OK"),IF(F113/E113&lt;0.5,"Low Stock",IF(F113/E113&gt;3,"Overstock","OK"))))</f>
        <v>OK</v>
      </c>
      <c r="I113" s="16"/>
    </row>
    <row r="114" customFormat="false" ht="15" hidden="false" customHeight="false" outlineLevel="0" collapsed="false">
      <c r="A114" s="15" t="s">
        <v>109</v>
      </c>
      <c r="B114" s="15" t="s">
        <v>165</v>
      </c>
      <c r="C114" s="15" t="s">
        <v>80</v>
      </c>
      <c r="D114" s="15" t="n">
        <v>0</v>
      </c>
      <c r="E114" s="15" t="n">
        <v>0</v>
      </c>
      <c r="F114" s="15" t="n">
        <v>0</v>
      </c>
      <c r="G114" s="10" t="str">
        <f aca="false">IF(OR(E114="",E114=0),"n/a",IF(F114&lt;0,"n/a",ROUND(F114/E114,1)))</f>
        <v>n/a</v>
      </c>
      <c r="H114" s="10" t="str">
        <f aca="false">IF(F114&lt;0,"Negative (check entry)",IF(OR(E114="",E114=0),IF(F114=0,"No Activity","OK"),IF(F114/E114&lt;0.5,"Low Stock",IF(F114/E114&gt;3,"Overstock","OK"))))</f>
        <v>No Activity</v>
      </c>
      <c r="I114" s="16"/>
    </row>
    <row r="115" customFormat="false" ht="15" hidden="false" customHeight="false" outlineLevel="0" collapsed="false">
      <c r="A115" s="15" t="s">
        <v>109</v>
      </c>
      <c r="B115" s="15" t="s">
        <v>165</v>
      </c>
      <c r="C115" s="15" t="s">
        <v>59</v>
      </c>
      <c r="D115" s="15" t="n">
        <v>752</v>
      </c>
      <c r="E115" s="15" t="n">
        <v>1408</v>
      </c>
      <c r="F115" s="15" t="n">
        <v>1120</v>
      </c>
      <c r="G115" s="10" t="n">
        <f aca="false">IF(OR(E115="",E115=0),"n/a",IF(F115&lt;0,"n/a",ROUND(F115/E115,1)))</f>
        <v>0.8</v>
      </c>
      <c r="H115" s="10" t="str">
        <f aca="false">IF(F115&lt;0,"Negative (check entry)",IF(OR(E115="",E115=0),IF(F115=0,"No Activity","OK"),IF(F115/E115&lt;0.5,"Low Stock",IF(F115/E115&gt;3,"Overstock","OK"))))</f>
        <v>OK</v>
      </c>
      <c r="I115" s="16"/>
    </row>
    <row r="116" customFormat="false" ht="15" hidden="false" customHeight="false" outlineLevel="0" collapsed="false">
      <c r="A116" s="15" t="s">
        <v>109</v>
      </c>
      <c r="B116" s="15" t="s">
        <v>168</v>
      </c>
      <c r="C116" s="15" t="s">
        <v>73</v>
      </c>
      <c r="D116" s="15" t="n">
        <v>224</v>
      </c>
      <c r="E116" s="15" t="n">
        <v>0</v>
      </c>
      <c r="F116" s="15" t="n">
        <v>224</v>
      </c>
      <c r="G116" s="10" t="str">
        <f aca="false">IF(OR(E116="",E116=0),"n/a",IF(F116&lt;0,"n/a",ROUND(F116/E116,1)))</f>
        <v>n/a</v>
      </c>
      <c r="H116" s="10" t="str">
        <f aca="false">IF(F116&lt;0,"Negative (check entry)",IF(OR(E116="",E116=0),IF(F116=0,"No Activity","OK"),IF(F116/E116&lt;0.5,"Low Stock",IF(F116/E116&gt;3,"Overstock","OK"))))</f>
        <v>OK</v>
      </c>
      <c r="I116" s="16"/>
    </row>
    <row r="117" customFormat="false" ht="15" hidden="false" customHeight="false" outlineLevel="0" collapsed="false">
      <c r="A117" s="15" t="s">
        <v>109</v>
      </c>
      <c r="B117" s="15" t="s">
        <v>168</v>
      </c>
      <c r="C117" s="15" t="s">
        <v>169</v>
      </c>
      <c r="D117" s="15" t="n">
        <v>0</v>
      </c>
      <c r="E117" s="15" t="n">
        <v>0</v>
      </c>
      <c r="F117" s="15" t="n">
        <v>0</v>
      </c>
      <c r="G117" s="10" t="str">
        <f aca="false">IF(OR(E117="",E117=0),"n/a",IF(F117&lt;0,"n/a",ROUND(F117/E117,1)))</f>
        <v>n/a</v>
      </c>
      <c r="H117" s="10" t="str">
        <f aca="false">IF(F117&lt;0,"Negative (check entry)",IF(OR(E117="",E117=0),IF(F117=0,"No Activity","OK"),IF(F117/E117&lt;0.5,"Low Stock",IF(F117/E117&gt;3,"Overstock","OK"))))</f>
        <v>No Activity</v>
      </c>
      <c r="I117" s="16"/>
    </row>
    <row r="118" customFormat="false" ht="15" hidden="false" customHeight="false" outlineLevel="0" collapsed="false">
      <c r="A118" s="15" t="s">
        <v>109</v>
      </c>
      <c r="B118" s="15" t="s">
        <v>168</v>
      </c>
      <c r="C118" s="15" t="s">
        <v>86</v>
      </c>
      <c r="D118" s="15" t="n">
        <v>112</v>
      </c>
      <c r="E118" s="15" t="n">
        <v>16</v>
      </c>
      <c r="F118" s="15" t="n">
        <v>96</v>
      </c>
      <c r="G118" s="10" t="n">
        <f aca="false">IF(OR(E118="",E118=0),"n/a",IF(F118&lt;0,"n/a",ROUND(F118/E118,1)))</f>
        <v>6</v>
      </c>
      <c r="H118" s="10" t="str">
        <f aca="false">IF(F118&lt;0,"Negative (check entry)",IF(OR(E118="",E118=0),IF(F118=0,"No Activity","OK"),IF(F118/E118&lt;0.5,"Low Stock",IF(F118/E118&gt;3,"Overstock","OK"))))</f>
        <v>Overstock</v>
      </c>
      <c r="I118" s="16"/>
    </row>
    <row r="119" customFormat="false" ht="15" hidden="false" customHeight="false" outlineLevel="0" collapsed="false">
      <c r="A119" s="15" t="s">
        <v>109</v>
      </c>
      <c r="B119" s="15" t="s">
        <v>168</v>
      </c>
      <c r="C119" s="15" t="s">
        <v>154</v>
      </c>
      <c r="D119" s="15" t="n">
        <v>0</v>
      </c>
      <c r="E119" s="15" t="n">
        <v>0</v>
      </c>
      <c r="F119" s="15" t="n">
        <v>0</v>
      </c>
      <c r="G119" s="10" t="str">
        <f aca="false">IF(OR(E119="",E119=0),"n/a",IF(F119&lt;0,"n/a",ROUND(F119/E119,1)))</f>
        <v>n/a</v>
      </c>
      <c r="H119" s="10" t="str">
        <f aca="false">IF(F119&lt;0,"Negative (check entry)",IF(OR(E119="",E119=0),IF(F119=0,"No Activity","OK"),IF(F119/E119&lt;0.5,"Low Stock",IF(F119/E119&gt;3,"Overstock","OK"))))</f>
        <v>No Activity</v>
      </c>
      <c r="I119" s="16"/>
    </row>
    <row r="120" customFormat="false" ht="15" hidden="false" customHeight="false" outlineLevel="0" collapsed="false">
      <c r="A120" s="15" t="s">
        <v>109</v>
      </c>
      <c r="B120" s="15" t="s">
        <v>168</v>
      </c>
      <c r="C120" s="15" t="s">
        <v>134</v>
      </c>
      <c r="D120" s="15" t="n">
        <v>160</v>
      </c>
      <c r="E120" s="15" t="n">
        <v>0</v>
      </c>
      <c r="F120" s="15" t="n">
        <v>160</v>
      </c>
      <c r="G120" s="10" t="str">
        <f aca="false">IF(OR(E120="",E120=0),"n/a",IF(F120&lt;0,"n/a",ROUND(F120/E120,1)))</f>
        <v>n/a</v>
      </c>
      <c r="H120" s="10" t="str">
        <f aca="false">IF(F120&lt;0,"Negative (check entry)",IF(OR(E120="",E120=0),IF(F120=0,"No Activity","OK"),IF(F120/E120&lt;0.5,"Low Stock",IF(F120/E120&gt;3,"Overstock","OK"))))</f>
        <v>OK</v>
      </c>
      <c r="I120" s="16"/>
    </row>
    <row r="121" customFormat="false" ht="15" hidden="false" customHeight="false" outlineLevel="0" collapsed="false">
      <c r="A121" s="15" t="s">
        <v>109</v>
      </c>
      <c r="B121" s="15" t="s">
        <v>168</v>
      </c>
      <c r="C121" s="15" t="s">
        <v>170</v>
      </c>
      <c r="D121" s="15" t="n">
        <v>208</v>
      </c>
      <c r="E121" s="15" t="n">
        <v>0</v>
      </c>
      <c r="F121" s="15" t="n">
        <v>208</v>
      </c>
      <c r="G121" s="10" t="str">
        <f aca="false">IF(OR(E121="",E121=0),"n/a",IF(F121&lt;0,"n/a",ROUND(F121/E121,1)))</f>
        <v>n/a</v>
      </c>
      <c r="H121" s="10" t="str">
        <f aca="false">IF(F121&lt;0,"Negative (check entry)",IF(OR(E121="",E121=0),IF(F121=0,"No Activity","OK"),IF(F121/E121&lt;0.5,"Low Stock",IF(F121/E121&gt;3,"Overstock","OK"))))</f>
        <v>OK</v>
      </c>
      <c r="I121" s="16"/>
    </row>
    <row r="122" customFormat="false" ht="15" hidden="false" customHeight="false" outlineLevel="0" collapsed="false">
      <c r="A122" s="15" t="s">
        <v>109</v>
      </c>
      <c r="B122" s="15" t="s">
        <v>168</v>
      </c>
      <c r="C122" s="15" t="s">
        <v>171</v>
      </c>
      <c r="D122" s="15" t="n">
        <v>0</v>
      </c>
      <c r="E122" s="15" t="n">
        <v>0</v>
      </c>
      <c r="F122" s="15" t="n">
        <v>0</v>
      </c>
      <c r="G122" s="10" t="str">
        <f aca="false">IF(OR(E122="",E122=0),"n/a",IF(F122&lt;0,"n/a",ROUND(F122/E122,1)))</f>
        <v>n/a</v>
      </c>
      <c r="H122" s="10" t="str">
        <f aca="false">IF(F122&lt;0,"Negative (check entry)",IF(OR(E122="",E122=0),IF(F122=0,"No Activity","OK"),IF(F122/E122&lt;0.5,"Low Stock",IF(F122/E122&gt;3,"Overstock","OK"))))</f>
        <v>No Activity</v>
      </c>
      <c r="I122" s="16"/>
    </row>
    <row r="123" customFormat="false" ht="15" hidden="false" customHeight="false" outlineLevel="0" collapsed="false">
      <c r="A123" s="15" t="s">
        <v>109</v>
      </c>
      <c r="B123" s="15" t="s">
        <v>168</v>
      </c>
      <c r="C123" s="15" t="s">
        <v>52</v>
      </c>
      <c r="D123" s="15" t="n">
        <v>160</v>
      </c>
      <c r="E123" s="15" t="n">
        <v>32</v>
      </c>
      <c r="F123" s="15" t="n">
        <v>128</v>
      </c>
      <c r="G123" s="10" t="n">
        <f aca="false">IF(OR(E123="",E123=0),"n/a",IF(F123&lt;0,"n/a",ROUND(F123/E123,1)))</f>
        <v>4</v>
      </c>
      <c r="H123" s="10" t="str">
        <f aca="false">IF(F123&lt;0,"Negative (check entry)",IF(OR(E123="",E123=0),IF(F123=0,"No Activity","OK"),IF(F123/E123&lt;0.5,"Low Stock",IF(F123/E123&gt;3,"Overstock","OK"))))</f>
        <v>Overstock</v>
      </c>
      <c r="I123" s="16"/>
    </row>
    <row r="124" customFormat="false" ht="15" hidden="false" customHeight="false" outlineLevel="0" collapsed="false">
      <c r="A124" s="15" t="s">
        <v>109</v>
      </c>
      <c r="B124" s="15" t="s">
        <v>168</v>
      </c>
      <c r="C124" s="15" t="s">
        <v>101</v>
      </c>
      <c r="D124" s="15" t="n">
        <v>7264</v>
      </c>
      <c r="E124" s="15" t="n">
        <v>3664</v>
      </c>
      <c r="F124" s="15" t="n">
        <v>6016</v>
      </c>
      <c r="G124" s="10" t="n">
        <f aca="false">IF(OR(E124="",E124=0),"n/a",IF(F124&lt;0,"n/a",ROUND(F124/E124,1)))</f>
        <v>1.6</v>
      </c>
      <c r="H124" s="10" t="str">
        <f aca="false">IF(F124&lt;0,"Negative (check entry)",IF(OR(E124="",E124=0),IF(F124=0,"No Activity","OK"),IF(F124/E124&lt;0.5,"Low Stock",IF(F124/E124&gt;3,"Overstock","OK"))))</f>
        <v>OK</v>
      </c>
      <c r="I124" s="16"/>
    </row>
    <row r="125" customFormat="false" ht="15" hidden="false" customHeight="false" outlineLevel="0" collapsed="false">
      <c r="A125" s="15" t="s">
        <v>109</v>
      </c>
      <c r="B125" s="15" t="s">
        <v>168</v>
      </c>
      <c r="C125" s="15" t="s">
        <v>47</v>
      </c>
      <c r="D125" s="15" t="n">
        <v>0</v>
      </c>
      <c r="E125" s="15" t="n">
        <v>0</v>
      </c>
      <c r="F125" s="15" t="n">
        <v>27</v>
      </c>
      <c r="G125" s="10" t="str">
        <f aca="false">IF(OR(E125="",E125=0),"n/a",IF(F125&lt;0,"n/a",ROUND(F125/E125,1)))</f>
        <v>n/a</v>
      </c>
      <c r="H125" s="10" t="str">
        <f aca="false">IF(F125&lt;0,"Negative (check entry)",IF(OR(E125="",E125=0),IF(F125=0,"No Activity","OK"),IF(F125/E125&lt;0.5,"Low Stock",IF(F125/E125&gt;3,"Overstock","OK"))))</f>
        <v>OK</v>
      </c>
      <c r="I125" s="16"/>
    </row>
    <row r="126" customFormat="false" ht="15" hidden="false" customHeight="false" outlineLevel="0" collapsed="false">
      <c r="A126" s="15" t="s">
        <v>109</v>
      </c>
      <c r="B126" s="15" t="s">
        <v>168</v>
      </c>
      <c r="C126" s="15" t="s">
        <v>102</v>
      </c>
      <c r="D126" s="15" t="n">
        <v>7264</v>
      </c>
      <c r="E126" s="15" t="n">
        <v>3664</v>
      </c>
      <c r="F126" s="15" t="n">
        <v>6043</v>
      </c>
      <c r="G126" s="10" t="n">
        <f aca="false">IF(OR(E126="",E126=0),"n/a",IF(F126&lt;0,"n/a",ROUND(F126/E126,1)))</f>
        <v>1.6</v>
      </c>
      <c r="H126" s="10" t="str">
        <f aca="false">IF(F126&lt;0,"Negative (check entry)",IF(OR(E126="",E126=0),IF(F126=0,"No Activity","OK"),IF(F126/E126&lt;0.5,"Low Stock",IF(F126/E126&gt;3,"Overstock","OK"))))</f>
        <v>OK</v>
      </c>
      <c r="I126" s="16"/>
    </row>
    <row r="127" customFormat="false" ht="15" hidden="false" customHeight="false" outlineLevel="0" collapsed="false">
      <c r="A127" s="15" t="s">
        <v>109</v>
      </c>
      <c r="B127" s="15" t="s">
        <v>168</v>
      </c>
      <c r="C127" s="15" t="s">
        <v>172</v>
      </c>
      <c r="D127" s="15" t="n">
        <v>0</v>
      </c>
      <c r="E127" s="15" t="n">
        <v>0</v>
      </c>
      <c r="F127" s="15" t="n">
        <v>114</v>
      </c>
      <c r="G127" s="10" t="str">
        <f aca="false">IF(OR(E127="",E127=0),"n/a",IF(F127&lt;0,"n/a",ROUND(F127/E127,1)))</f>
        <v>n/a</v>
      </c>
      <c r="H127" s="10" t="str">
        <f aca="false">IF(F127&lt;0,"Negative (check entry)",IF(OR(E127="",E127=0),IF(F127=0,"No Activity","OK"),IF(F127/E127&lt;0.5,"Low Stock",IF(F127/E127&gt;3,"Overstock","OK"))))</f>
        <v>OK</v>
      </c>
      <c r="I127" s="16"/>
    </row>
    <row r="128" customFormat="false" ht="15" hidden="false" customHeight="false" outlineLevel="0" collapsed="false">
      <c r="A128" s="15" t="s">
        <v>109</v>
      </c>
      <c r="B128" s="15" t="s">
        <v>168</v>
      </c>
      <c r="C128" s="15" t="s">
        <v>104</v>
      </c>
      <c r="D128" s="15" t="n">
        <v>7264</v>
      </c>
      <c r="E128" s="15" t="n">
        <v>3664</v>
      </c>
      <c r="F128" s="15" t="n">
        <v>6157</v>
      </c>
      <c r="G128" s="10" t="n">
        <f aca="false">IF(OR(E128="",E128=0),"n/a",IF(F128&lt;0,"n/a",ROUND(F128/E128,1)))</f>
        <v>1.7</v>
      </c>
      <c r="H128" s="10" t="str">
        <f aca="false">IF(F128&lt;0,"Negative (check entry)",IF(OR(E128="",E128=0),IF(F128=0,"No Activity","OK"),IF(F128/E128&lt;0.5,"Low Stock",IF(F128/E128&gt;3,"Overstock","OK"))))</f>
        <v>OK</v>
      </c>
      <c r="I128" s="16"/>
    </row>
    <row r="129" customFormat="false" ht="15" hidden="false" customHeight="false" outlineLevel="0" collapsed="false">
      <c r="A129" s="15" t="s">
        <v>173</v>
      </c>
      <c r="B129" s="15" t="s">
        <v>174</v>
      </c>
      <c r="C129" s="15" t="s">
        <v>127</v>
      </c>
      <c r="D129" s="15" t="n">
        <v>0</v>
      </c>
      <c r="E129" s="15" t="n">
        <v>0</v>
      </c>
      <c r="F129" s="15" t="n">
        <v>0</v>
      </c>
      <c r="G129" s="10" t="str">
        <f aca="false">IF(OR(E129="",E129=0),"n/a",IF(F129&lt;0,"n/a",ROUND(F129/E129,1)))</f>
        <v>n/a</v>
      </c>
      <c r="H129" s="10" t="str">
        <f aca="false">IF(F129&lt;0,"Negative (check entry)",IF(OR(E129="",E129=0),IF(F129=0,"No Activity","OK"),IF(F129/E129&lt;0.5,"Low Stock",IF(F129/E129&gt;3,"Overstock","OK"))))</f>
        <v>No Activity</v>
      </c>
      <c r="I129" s="16"/>
    </row>
    <row r="130" customFormat="false" ht="15" hidden="false" customHeight="false" outlineLevel="0" collapsed="false">
      <c r="A130" s="15" t="s">
        <v>173</v>
      </c>
      <c r="B130" s="15" t="s">
        <v>174</v>
      </c>
      <c r="C130" s="15" t="s">
        <v>52</v>
      </c>
      <c r="D130" s="15" t="n">
        <v>0</v>
      </c>
      <c r="E130" s="15" t="n">
        <v>0</v>
      </c>
      <c r="F130" s="15" t="n">
        <v>0</v>
      </c>
      <c r="G130" s="10" t="str">
        <f aca="false">IF(OR(E130="",E130=0),"n/a",IF(F130&lt;0,"n/a",ROUND(F130/E130,1)))</f>
        <v>n/a</v>
      </c>
      <c r="H130" s="10" t="str">
        <f aca="false">IF(F130&lt;0,"Negative (check entry)",IF(OR(E130="",E130=0),IF(F130=0,"No Activity","OK"),IF(F130/E130&lt;0.5,"Low Stock",IF(F130/E130&gt;3,"Overstock","OK"))))</f>
        <v>No Activity</v>
      </c>
      <c r="I130" s="16"/>
    </row>
    <row r="131" customFormat="false" ht="15" hidden="false" customHeight="false" outlineLevel="0" collapsed="false">
      <c r="A131" s="15" t="s">
        <v>173</v>
      </c>
      <c r="B131" s="15" t="s">
        <v>174</v>
      </c>
      <c r="C131" s="15" t="s">
        <v>86</v>
      </c>
      <c r="D131" s="15" t="n">
        <v>0</v>
      </c>
      <c r="E131" s="15" t="n">
        <v>0</v>
      </c>
      <c r="F131" s="15" t="n">
        <v>0</v>
      </c>
      <c r="G131" s="10" t="str">
        <f aca="false">IF(OR(E131="",E131=0),"n/a",IF(F131&lt;0,"n/a",ROUND(F131/E131,1)))</f>
        <v>n/a</v>
      </c>
      <c r="H131" s="10" t="str">
        <f aca="false">IF(F131&lt;0,"Negative (check entry)",IF(OR(E131="",E131=0),IF(F131=0,"No Activity","OK"),IF(F131/E131&lt;0.5,"Low Stock",IF(F131/E131&gt;3,"Overstock","OK"))))</f>
        <v>No Activity</v>
      </c>
      <c r="I131" s="16"/>
    </row>
    <row r="132" customFormat="false" ht="15" hidden="false" customHeight="false" outlineLevel="0" collapsed="false">
      <c r="A132" s="15" t="s">
        <v>173</v>
      </c>
      <c r="B132" s="15" t="s">
        <v>174</v>
      </c>
      <c r="C132" s="15" t="s">
        <v>175</v>
      </c>
      <c r="D132" s="15" t="n">
        <v>0</v>
      </c>
      <c r="E132" s="15" t="n">
        <v>0</v>
      </c>
      <c r="F132" s="15" t="n">
        <v>0</v>
      </c>
      <c r="G132" s="10" t="str">
        <f aca="false">IF(OR(E132="",E132=0),"n/a",IF(F132&lt;0,"n/a",ROUND(F132/E132,1)))</f>
        <v>n/a</v>
      </c>
      <c r="H132" s="10" t="str">
        <f aca="false">IF(F132&lt;0,"Negative (check entry)",IF(OR(E132="",E132=0),IF(F132=0,"No Activity","OK"),IF(F132/E132&lt;0.5,"Low Stock",IF(F132/E132&gt;3,"Overstock","OK"))))</f>
        <v>No Activity</v>
      </c>
      <c r="I132" s="16"/>
    </row>
    <row r="133" customFormat="false" ht="15" hidden="false" customHeight="false" outlineLevel="0" collapsed="false">
      <c r="A133" s="15" t="s">
        <v>173</v>
      </c>
      <c r="B133" s="15" t="s">
        <v>174</v>
      </c>
      <c r="C133" s="15" t="s">
        <v>73</v>
      </c>
      <c r="D133" s="15" t="n">
        <v>0</v>
      </c>
      <c r="E133" s="15" t="n">
        <v>0</v>
      </c>
      <c r="F133" s="15" t="n">
        <v>0</v>
      </c>
      <c r="G133" s="10" t="str">
        <f aca="false">IF(OR(E133="",E133=0),"n/a",IF(F133&lt;0,"n/a",ROUND(F133/E133,1)))</f>
        <v>n/a</v>
      </c>
      <c r="H133" s="10" t="str">
        <f aca="false">IF(F133&lt;0,"Negative (check entry)",IF(OR(E133="",E133=0),IF(F133=0,"No Activity","OK"),IF(F133/E133&lt;0.5,"Low Stock",IF(F133/E133&gt;3,"Overstock","OK"))))</f>
        <v>No Activity</v>
      </c>
      <c r="I133" s="16"/>
    </row>
    <row r="134" customFormat="false" ht="15" hidden="false" customHeight="false" outlineLevel="0" collapsed="false">
      <c r="A134" s="15" t="s">
        <v>173</v>
      </c>
      <c r="B134" s="15" t="s">
        <v>176</v>
      </c>
      <c r="C134" s="15" t="s">
        <v>41</v>
      </c>
      <c r="D134" s="15" t="n">
        <v>0</v>
      </c>
      <c r="E134" s="15" t="n">
        <v>0</v>
      </c>
      <c r="F134" s="15" t="n">
        <v>0</v>
      </c>
      <c r="G134" s="10" t="str">
        <f aca="false">IF(OR(E134="",E134=0),"n/a",IF(F134&lt;0,"n/a",ROUND(F134/E134,1)))</f>
        <v>n/a</v>
      </c>
      <c r="H134" s="10" t="str">
        <f aca="false">IF(F134&lt;0,"Negative (check entry)",IF(OR(E134="",E134=0),IF(F134=0,"No Activity","OK"),IF(F134/E134&lt;0.5,"Low Stock",IF(F134/E134&gt;3,"Overstock","OK"))))</f>
        <v>No Activity</v>
      </c>
      <c r="I134" s="16"/>
    </row>
    <row r="135" customFormat="false" ht="15" hidden="false" customHeight="false" outlineLevel="0" collapsed="false">
      <c r="A135" s="15" t="s">
        <v>173</v>
      </c>
      <c r="B135" s="15" t="s">
        <v>176</v>
      </c>
      <c r="C135" s="15" t="s">
        <v>141</v>
      </c>
      <c r="D135" s="15" t="n">
        <v>0</v>
      </c>
      <c r="E135" s="15" t="n">
        <v>0</v>
      </c>
      <c r="F135" s="15" t="n">
        <v>0</v>
      </c>
      <c r="G135" s="10" t="str">
        <f aca="false">IF(OR(E135="",E135=0),"n/a",IF(F135&lt;0,"n/a",ROUND(F135/E135,1)))</f>
        <v>n/a</v>
      </c>
      <c r="H135" s="10" t="str">
        <f aca="false">IF(F135&lt;0,"Negative (check entry)",IF(OR(E135="",E135=0),IF(F135=0,"No Activity","OK"),IF(F135/E135&lt;0.5,"Low Stock",IF(F135/E135&gt;3,"Overstock","OK"))))</f>
        <v>No Activity</v>
      </c>
      <c r="I135" s="16"/>
    </row>
    <row r="136" customFormat="false" ht="15" hidden="false" customHeight="false" outlineLevel="0" collapsed="false">
      <c r="A136" s="15" t="s">
        <v>173</v>
      </c>
      <c r="B136" s="15" t="s">
        <v>176</v>
      </c>
      <c r="C136" s="15" t="s">
        <v>177</v>
      </c>
      <c r="D136" s="15" t="n">
        <v>0</v>
      </c>
      <c r="E136" s="15" t="n">
        <v>0</v>
      </c>
      <c r="F136" s="15" t="n">
        <v>0</v>
      </c>
      <c r="G136" s="10" t="str">
        <f aca="false">IF(OR(E136="",E136=0),"n/a",IF(F136&lt;0,"n/a",ROUND(F136/E136,1)))</f>
        <v>n/a</v>
      </c>
      <c r="H136" s="10" t="str">
        <f aca="false">IF(F136&lt;0,"Negative (check entry)",IF(OR(E136="",E136=0),IF(F136=0,"No Activity","OK"),IF(F136/E136&lt;0.5,"Low Stock",IF(F136/E136&gt;3,"Overstock","OK"))))</f>
        <v>No Activity</v>
      </c>
      <c r="I136" s="16"/>
    </row>
    <row r="137" customFormat="false" ht="15" hidden="false" customHeight="false" outlineLevel="0" collapsed="false">
      <c r="A137" s="15" t="s">
        <v>173</v>
      </c>
      <c r="B137" s="15" t="s">
        <v>176</v>
      </c>
      <c r="C137" s="15" t="s">
        <v>88</v>
      </c>
      <c r="D137" s="15" t="n">
        <v>0</v>
      </c>
      <c r="E137" s="15" t="n">
        <v>0</v>
      </c>
      <c r="F137" s="15" t="n">
        <v>0</v>
      </c>
      <c r="G137" s="10" t="str">
        <f aca="false">IF(OR(E137="",E137=0),"n/a",IF(F137&lt;0,"n/a",ROUND(F137/E137,1)))</f>
        <v>n/a</v>
      </c>
      <c r="H137" s="10" t="str">
        <f aca="false">IF(F137&lt;0,"Negative (check entry)",IF(OR(E137="",E137=0),IF(F137=0,"No Activity","OK"),IF(F137/E137&lt;0.5,"Low Stock",IF(F137/E137&gt;3,"Overstock","OK"))))</f>
        <v>No Activity</v>
      </c>
      <c r="I137" s="16"/>
    </row>
    <row r="138" customFormat="false" ht="15" hidden="false" customHeight="false" outlineLevel="0" collapsed="false">
      <c r="A138" s="15" t="s">
        <v>173</v>
      </c>
      <c r="B138" s="15" t="s">
        <v>176</v>
      </c>
      <c r="C138" s="15" t="s">
        <v>38</v>
      </c>
      <c r="D138" s="15" t="n">
        <v>0</v>
      </c>
      <c r="E138" s="15" t="n">
        <v>0</v>
      </c>
      <c r="F138" s="15" t="n">
        <v>0</v>
      </c>
      <c r="G138" s="10" t="str">
        <f aca="false">IF(OR(E138="",E138=0),"n/a",IF(F138&lt;0,"n/a",ROUND(F138/E138,1)))</f>
        <v>n/a</v>
      </c>
      <c r="H138" s="10" t="str">
        <f aca="false">IF(F138&lt;0,"Negative (check entry)",IF(OR(E138="",E138=0),IF(F138=0,"No Activity","OK"),IF(F138/E138&lt;0.5,"Low Stock",IF(F138/E138&gt;3,"Overstock","OK"))))</f>
        <v>No Activity</v>
      </c>
      <c r="I138" s="16"/>
    </row>
    <row r="139" customFormat="false" ht="15" hidden="false" customHeight="false" outlineLevel="0" collapsed="false">
      <c r="A139" s="15" t="s">
        <v>173</v>
      </c>
      <c r="B139" s="15" t="s">
        <v>176</v>
      </c>
      <c r="C139" s="15" t="s">
        <v>178</v>
      </c>
      <c r="D139" s="15" t="n">
        <v>0</v>
      </c>
      <c r="E139" s="15" t="n">
        <v>0</v>
      </c>
      <c r="F139" s="15" t="n">
        <v>0</v>
      </c>
      <c r="G139" s="10" t="str">
        <f aca="false">IF(OR(E139="",E139=0),"n/a",IF(F139&lt;0,"n/a",ROUND(F139/E139,1)))</f>
        <v>n/a</v>
      </c>
      <c r="H139" s="10" t="str">
        <f aca="false">IF(F139&lt;0,"Negative (check entry)",IF(OR(E139="",E139=0),IF(F139=0,"No Activity","OK"),IF(F139/E139&lt;0.5,"Low Stock",IF(F139/E139&gt;3,"Overstock","OK"))))</f>
        <v>No Activity</v>
      </c>
      <c r="I139" s="16"/>
    </row>
    <row r="140" customFormat="false" ht="15" hidden="false" customHeight="false" outlineLevel="0" collapsed="false">
      <c r="A140" s="15" t="s">
        <v>173</v>
      </c>
      <c r="B140" s="15" t="s">
        <v>176</v>
      </c>
      <c r="C140" s="15" t="s">
        <v>59</v>
      </c>
      <c r="D140" s="15" t="n">
        <v>0</v>
      </c>
      <c r="E140" s="15" t="n">
        <v>0</v>
      </c>
      <c r="F140" s="15" t="n">
        <v>0</v>
      </c>
      <c r="G140" s="10" t="str">
        <f aca="false">IF(OR(E140="",E140=0),"n/a",IF(F140&lt;0,"n/a",ROUND(F140/E140,1)))</f>
        <v>n/a</v>
      </c>
      <c r="H140" s="10" t="str">
        <f aca="false">IF(F140&lt;0,"Negative (check entry)",IF(OR(E140="",E140=0),IF(F140=0,"No Activity","OK"),IF(F140/E140&lt;0.5,"Low Stock",IF(F140/E140&gt;3,"Overstock","OK"))))</f>
        <v>No Activity</v>
      </c>
      <c r="I140" s="16"/>
    </row>
    <row r="141" customFormat="false" ht="15" hidden="false" customHeight="false" outlineLevel="0" collapsed="false">
      <c r="A141" s="15" t="s">
        <v>173</v>
      </c>
      <c r="B141" s="15" t="s">
        <v>179</v>
      </c>
      <c r="C141" s="15" t="s">
        <v>59</v>
      </c>
      <c r="D141" s="15" t="n">
        <v>0</v>
      </c>
      <c r="E141" s="15" t="n">
        <v>0</v>
      </c>
      <c r="F141" s="15" t="n">
        <v>0</v>
      </c>
      <c r="G141" s="10" t="str">
        <f aca="false">IF(OR(E141="",E141=0),"n/a",IF(F141&lt;0,"n/a",ROUND(F141/E141,1)))</f>
        <v>n/a</v>
      </c>
      <c r="H141" s="10" t="str">
        <f aca="false">IF(F141&lt;0,"Negative (check entry)",IF(OR(E141="",E141=0),IF(F141=0,"No Activity","OK"),IF(F141/E141&lt;0.5,"Low Stock",IF(F141/E141&gt;3,"Overstock","OK"))))</f>
        <v>No Activity</v>
      </c>
      <c r="I141" s="16"/>
    </row>
    <row r="142" customFormat="false" ht="15" hidden="false" customHeight="false" outlineLevel="0" collapsed="false">
      <c r="A142" s="15" t="s">
        <v>173</v>
      </c>
      <c r="B142" s="15" t="s">
        <v>179</v>
      </c>
      <c r="C142" s="15" t="s">
        <v>38</v>
      </c>
      <c r="D142" s="15" t="n">
        <v>0</v>
      </c>
      <c r="E142" s="15" t="n">
        <v>0</v>
      </c>
      <c r="F142" s="15" t="n">
        <v>0</v>
      </c>
      <c r="G142" s="10" t="str">
        <f aca="false">IF(OR(E142="",E142=0),"n/a",IF(F142&lt;0,"n/a",ROUND(F142/E142,1)))</f>
        <v>n/a</v>
      </c>
      <c r="H142" s="10" t="str">
        <f aca="false">IF(F142&lt;0,"Negative (check entry)",IF(OR(E142="",E142=0),IF(F142=0,"No Activity","OK"),IF(F142/E142&lt;0.5,"Low Stock",IF(F142/E142&gt;3,"Overstock","OK"))))</f>
        <v>No Activity</v>
      </c>
      <c r="I142" s="16"/>
    </row>
    <row r="143" customFormat="false" ht="15" hidden="false" customHeight="false" outlineLevel="0" collapsed="false">
      <c r="A143" s="15" t="s">
        <v>173</v>
      </c>
      <c r="B143" s="15" t="s">
        <v>179</v>
      </c>
      <c r="C143" s="15" t="s">
        <v>41</v>
      </c>
      <c r="D143" s="15" t="n">
        <v>0</v>
      </c>
      <c r="E143" s="15" t="n">
        <v>0</v>
      </c>
      <c r="F143" s="15" t="n">
        <v>0</v>
      </c>
      <c r="G143" s="10" t="str">
        <f aca="false">IF(OR(E143="",E143=0),"n/a",IF(F143&lt;0,"n/a",ROUND(F143/E143,1)))</f>
        <v>n/a</v>
      </c>
      <c r="H143" s="10" t="str">
        <f aca="false">IF(F143&lt;0,"Negative (check entry)",IF(OR(E143="",E143=0),IF(F143=0,"No Activity","OK"),IF(F143/E143&lt;0.5,"Low Stock",IF(F143/E143&gt;3,"Overstock","OK"))))</f>
        <v>No Activity</v>
      </c>
      <c r="I143" s="16"/>
    </row>
    <row r="144" customFormat="false" ht="15" hidden="false" customHeight="false" outlineLevel="0" collapsed="false">
      <c r="A144" s="15" t="s">
        <v>173</v>
      </c>
      <c r="B144" s="15" t="s">
        <v>179</v>
      </c>
      <c r="C144" s="15" t="s">
        <v>177</v>
      </c>
      <c r="D144" s="15" t="n">
        <v>0</v>
      </c>
      <c r="E144" s="15" t="n">
        <v>0</v>
      </c>
      <c r="F144" s="15" t="n">
        <v>0</v>
      </c>
      <c r="G144" s="10" t="str">
        <f aca="false">IF(OR(E144="",E144=0),"n/a",IF(F144&lt;0,"n/a",ROUND(F144/E144,1)))</f>
        <v>n/a</v>
      </c>
      <c r="H144" s="10" t="str">
        <f aca="false">IF(F144&lt;0,"Negative (check entry)",IF(OR(E144="",E144=0),IF(F144=0,"No Activity","OK"),IF(F144/E144&lt;0.5,"Low Stock",IF(F144/E144&gt;3,"Overstock","OK"))))</f>
        <v>No Activity</v>
      </c>
      <c r="I144" s="16"/>
    </row>
    <row r="145" customFormat="false" ht="15" hidden="false" customHeight="false" outlineLevel="0" collapsed="false">
      <c r="A145" s="15" t="s">
        <v>173</v>
      </c>
      <c r="B145" s="15" t="s">
        <v>179</v>
      </c>
      <c r="C145" s="15" t="s">
        <v>101</v>
      </c>
      <c r="D145" s="15" t="n">
        <v>0</v>
      </c>
      <c r="E145" s="15" t="n">
        <v>0</v>
      </c>
      <c r="F145" s="15" t="n">
        <v>0</v>
      </c>
      <c r="G145" s="10" t="str">
        <f aca="false">IF(OR(E145="",E145=0),"n/a",IF(F145&lt;0,"n/a",ROUND(F145/E145,1)))</f>
        <v>n/a</v>
      </c>
      <c r="H145" s="10" t="str">
        <f aca="false">IF(F145&lt;0,"Negative (check entry)",IF(OR(E145="",E145=0),IF(F145=0,"No Activity","OK"),IF(F145/E145&lt;0.5,"Low Stock",IF(F145/E145&gt;3,"Overstock","OK"))))</f>
        <v>No Activity</v>
      </c>
      <c r="I145" s="16"/>
    </row>
    <row r="146" customFormat="false" ht="15" hidden="false" customHeight="false" outlineLevel="0" collapsed="false">
      <c r="A146" s="15" t="s">
        <v>173</v>
      </c>
      <c r="B146" s="15" t="s">
        <v>179</v>
      </c>
      <c r="C146" s="15" t="s">
        <v>47</v>
      </c>
      <c r="D146" s="15" t="n">
        <v>0</v>
      </c>
      <c r="E146" s="15" t="n">
        <v>0</v>
      </c>
      <c r="F146" s="15" t="n">
        <v>0</v>
      </c>
      <c r="G146" s="10" t="str">
        <f aca="false">IF(OR(E146="",E146=0),"n/a",IF(F146&lt;0,"n/a",ROUND(F146/E146,1)))</f>
        <v>n/a</v>
      </c>
      <c r="H146" s="10" t="str">
        <f aca="false">IF(F146&lt;0,"Negative (check entry)",IF(OR(E146="",E146=0),IF(F146=0,"No Activity","OK"),IF(F146/E146&lt;0.5,"Low Stock",IF(F146/E146&gt;3,"Overstock","OK"))))</f>
        <v>No Activity</v>
      </c>
      <c r="I146" s="16"/>
    </row>
    <row r="147" customFormat="false" ht="15" hidden="false" customHeight="false" outlineLevel="0" collapsed="false">
      <c r="A147" s="15" t="s">
        <v>173</v>
      </c>
      <c r="B147" s="15" t="s">
        <v>179</v>
      </c>
      <c r="C147" s="15" t="s">
        <v>102</v>
      </c>
      <c r="D147" s="15" t="n">
        <v>0</v>
      </c>
      <c r="E147" s="15" t="n">
        <v>0</v>
      </c>
      <c r="F147" s="15" t="n">
        <v>0</v>
      </c>
      <c r="G147" s="10" t="str">
        <f aca="false">IF(OR(E147="",E147=0),"n/a",IF(F147&lt;0,"n/a",ROUND(F147/E147,1)))</f>
        <v>n/a</v>
      </c>
      <c r="H147" s="10" t="str">
        <f aca="false">IF(F147&lt;0,"Negative (check entry)",IF(OR(E147="",E147=0),IF(F147=0,"No Activity","OK"),IF(F147/E147&lt;0.5,"Low Stock",IF(F147/E147&gt;3,"Overstock","OK"))))</f>
        <v>No Activity</v>
      </c>
      <c r="I147" s="16"/>
    </row>
    <row r="148" customFormat="false" ht="15" hidden="false" customHeight="false" outlineLevel="0" collapsed="false">
      <c r="A148" s="15" t="s">
        <v>173</v>
      </c>
      <c r="B148" s="15" t="s">
        <v>179</v>
      </c>
      <c r="C148" s="15" t="s">
        <v>172</v>
      </c>
      <c r="D148" s="15" t="n">
        <v>0</v>
      </c>
      <c r="E148" s="15" t="n">
        <v>0</v>
      </c>
      <c r="F148" s="15" t="n">
        <v>0</v>
      </c>
      <c r="G148" s="10" t="str">
        <f aca="false">IF(OR(E148="",E148=0),"n/a",IF(F148&lt;0,"n/a",ROUND(F148/E148,1)))</f>
        <v>n/a</v>
      </c>
      <c r="H148" s="10" t="str">
        <f aca="false">IF(F148&lt;0,"Negative (check entry)",IF(OR(E148="",E148=0),IF(F148=0,"No Activity","OK"),IF(F148/E148&lt;0.5,"Low Stock",IF(F148/E148&gt;3,"Overstock","OK"))))</f>
        <v>No Activity</v>
      </c>
      <c r="I148" s="16"/>
    </row>
    <row r="149" customFormat="false" ht="15" hidden="false" customHeight="false" outlineLevel="0" collapsed="false">
      <c r="A149" s="15" t="s">
        <v>173</v>
      </c>
      <c r="B149" s="15" t="s">
        <v>179</v>
      </c>
      <c r="C149" s="15" t="s">
        <v>104</v>
      </c>
      <c r="D149" s="15" t="n">
        <v>0</v>
      </c>
      <c r="E149" s="15" t="n">
        <v>0</v>
      </c>
      <c r="F149" s="15" t="n">
        <v>0</v>
      </c>
      <c r="G149" s="10" t="str">
        <f aca="false">IF(OR(E149="",E149=0),"n/a",IF(F149&lt;0,"n/a",ROUND(F149/E149,1)))</f>
        <v>n/a</v>
      </c>
      <c r="H149" s="10" t="str">
        <f aca="false">IF(F149&lt;0,"Negative (check entry)",IF(OR(E149="",E149=0),IF(F149=0,"No Activity","OK"),IF(F149/E149&lt;0.5,"Low Stock",IF(F149/E149&gt;3,"Overstock","OK"))))</f>
        <v>No Activity</v>
      </c>
      <c r="I149" s="16"/>
    </row>
    <row r="150" customFormat="false" ht="15" hidden="false" customHeight="false" outlineLevel="0" collapsed="false">
      <c r="A150" s="15" t="s">
        <v>61</v>
      </c>
      <c r="B150" s="15" t="s">
        <v>61</v>
      </c>
      <c r="C150" s="15" t="s">
        <v>79</v>
      </c>
      <c r="D150" s="15" t="n">
        <v>0</v>
      </c>
      <c r="E150" s="15" t="n">
        <v>0</v>
      </c>
      <c r="F150" s="15" t="n">
        <v>0</v>
      </c>
      <c r="G150" s="10" t="str">
        <f aca="false">IF(OR(E150="",E150=0),"n/a",IF(F150&lt;0,"n/a",ROUND(F150/E150,1)))</f>
        <v>n/a</v>
      </c>
      <c r="H150" s="10" t="str">
        <f aca="false">IF(F150&lt;0,"Negative (check entry)",IF(OR(E150="",E150=0),IF(F150=0,"No Activity","OK"),IF(F150/E150&lt;0.5,"Low Stock",IF(F150/E150&gt;3,"Overstock","OK"))))</f>
        <v>No Activity</v>
      </c>
      <c r="I150" s="16"/>
    </row>
    <row r="151" customFormat="false" ht="15" hidden="false" customHeight="false" outlineLevel="0" collapsed="false">
      <c r="A151" s="15" t="s">
        <v>61</v>
      </c>
      <c r="B151" s="15" t="s">
        <v>61</v>
      </c>
      <c r="C151" s="15" t="s">
        <v>74</v>
      </c>
      <c r="D151" s="15" t="n">
        <v>144</v>
      </c>
      <c r="E151" s="15" t="n">
        <v>0</v>
      </c>
      <c r="F151" s="15" t="n">
        <v>144</v>
      </c>
      <c r="G151" s="10" t="str">
        <f aca="false">IF(OR(E151="",E151=0),"n/a",IF(F151&lt;0,"n/a",ROUND(F151/E151,1)))</f>
        <v>n/a</v>
      </c>
      <c r="H151" s="10" t="str">
        <f aca="false">IF(F151&lt;0,"Negative (check entry)",IF(OR(E151="",E151=0),IF(F151=0,"No Activity","OK"),IF(F151/E151&lt;0.5,"Low Stock",IF(F151/E151&gt;3,"Overstock","OK"))))</f>
        <v>OK</v>
      </c>
      <c r="I151" s="16"/>
    </row>
    <row r="152" customFormat="false" ht="15" hidden="false" customHeight="false" outlineLevel="0" collapsed="false">
      <c r="A152" s="15" t="s">
        <v>61</v>
      </c>
      <c r="B152" s="15" t="s">
        <v>61</v>
      </c>
      <c r="C152" s="15" t="s">
        <v>56</v>
      </c>
      <c r="D152" s="15" t="n">
        <v>0</v>
      </c>
      <c r="E152" s="15" t="n">
        <v>12</v>
      </c>
      <c r="F152" s="15" t="n">
        <v>-12</v>
      </c>
      <c r="G152" s="10" t="str">
        <f aca="false">IF(OR(E152="",E152=0),"n/a",IF(F152&lt;0,"n/a",ROUND(F152/E152,1)))</f>
        <v>n/a</v>
      </c>
      <c r="H152" s="10" t="str">
        <f aca="false">IF(F152&lt;0,"Negative (check entry)",IF(OR(E152="",E152=0),IF(F152=0,"No Activity","OK"),IF(F152/E152&lt;0.5,"Low Stock",IF(F152/E152&gt;3,"Overstock","OK"))))</f>
        <v>Negative (check entry)</v>
      </c>
      <c r="I152" s="16"/>
    </row>
    <row r="153" customFormat="false" ht="15" hidden="false" customHeight="false" outlineLevel="0" collapsed="false">
      <c r="A153" s="15" t="s">
        <v>61</v>
      </c>
      <c r="B153" s="15" t="s">
        <v>61</v>
      </c>
      <c r="C153" s="15" t="s">
        <v>155</v>
      </c>
      <c r="D153" s="15" t="n">
        <v>204</v>
      </c>
      <c r="E153" s="15" t="n">
        <v>24</v>
      </c>
      <c r="F153" s="15" t="n">
        <v>180</v>
      </c>
      <c r="G153" s="10" t="n">
        <f aca="false">IF(OR(E153="",E153=0),"n/a",IF(F153&lt;0,"n/a",ROUND(F153/E153,1)))</f>
        <v>7.5</v>
      </c>
      <c r="H153" s="10" t="str">
        <f aca="false">IF(F153&lt;0,"Negative (check entry)",IF(OR(E153="",E153=0),IF(F153=0,"No Activity","OK"),IF(F153/E153&lt;0.5,"Low Stock",IF(F153/E153&gt;3,"Overstock","OK"))))</f>
        <v>Overstock</v>
      </c>
      <c r="I153" s="16"/>
    </row>
    <row r="154" customFormat="false" ht="15" hidden="false" customHeight="false" outlineLevel="0" collapsed="false">
      <c r="A154" s="15" t="s">
        <v>61</v>
      </c>
      <c r="B154" s="15" t="s">
        <v>61</v>
      </c>
      <c r="C154" s="15" t="s">
        <v>141</v>
      </c>
      <c r="D154" s="15" t="n">
        <v>0</v>
      </c>
      <c r="E154" s="15" t="n">
        <v>0</v>
      </c>
      <c r="F154" s="15" t="n">
        <v>0</v>
      </c>
      <c r="G154" s="10" t="str">
        <f aca="false">IF(OR(E154="",E154=0),"n/a",IF(F154&lt;0,"n/a",ROUND(F154/E154,1)))</f>
        <v>n/a</v>
      </c>
      <c r="H154" s="10" t="str">
        <f aca="false">IF(F154&lt;0,"Negative (check entry)",IF(OR(E154="",E154=0),IF(F154=0,"No Activity","OK"),IF(F154/E154&lt;0.5,"Low Stock",IF(F154/E154&gt;3,"Overstock","OK"))))</f>
        <v>No Activity</v>
      </c>
      <c r="I154" s="16"/>
    </row>
    <row r="155" customFormat="false" ht="15" hidden="false" customHeight="false" outlineLevel="0" collapsed="false">
      <c r="A155" s="15" t="s">
        <v>61</v>
      </c>
      <c r="B155" s="15" t="s">
        <v>61</v>
      </c>
      <c r="C155" s="15" t="s">
        <v>52</v>
      </c>
      <c r="D155" s="15" t="n">
        <v>60</v>
      </c>
      <c r="E155" s="15" t="n">
        <v>48</v>
      </c>
      <c r="F155" s="15" t="n">
        <v>12</v>
      </c>
      <c r="G155" s="10" t="n">
        <f aca="false">IF(OR(E155="",E155=0),"n/a",IF(F155&lt;0,"n/a",ROUND(F155/E155,1)))</f>
        <v>0.3</v>
      </c>
      <c r="H155" s="10" t="str">
        <f aca="false">IF(F155&lt;0,"Negative (check entry)",IF(OR(E155="",E155=0),IF(F155=0,"No Activity","OK"),IF(F155/E155&lt;0.5,"Low Stock",IF(F155/E155&gt;3,"Overstock","OK"))))</f>
        <v>Low Stock</v>
      </c>
      <c r="I155" s="16"/>
    </row>
    <row r="156" customFormat="false" ht="15" hidden="false" customHeight="false" outlineLevel="0" collapsed="false">
      <c r="A156" s="15" t="s">
        <v>61</v>
      </c>
      <c r="B156" s="15" t="s">
        <v>61</v>
      </c>
      <c r="C156" s="15" t="s">
        <v>156</v>
      </c>
      <c r="D156" s="15" t="n">
        <v>276</v>
      </c>
      <c r="E156" s="15" t="n">
        <v>0</v>
      </c>
      <c r="F156" s="15" t="n">
        <v>276</v>
      </c>
      <c r="G156" s="10" t="str">
        <f aca="false">IF(OR(E156="",E156=0),"n/a",IF(F156&lt;0,"n/a",ROUND(F156/E156,1)))</f>
        <v>n/a</v>
      </c>
      <c r="H156" s="10" t="str">
        <f aca="false">IF(F156&lt;0,"Negative (check entry)",IF(OR(E156="",E156=0),IF(F156=0,"No Activity","OK"),IF(F156/E156&lt;0.5,"Low Stock",IF(F156/E156&gt;3,"Overstock","OK"))))</f>
        <v>OK</v>
      </c>
      <c r="I156" s="16"/>
    </row>
    <row r="157" customFormat="false" ht="15" hidden="false" customHeight="false" outlineLevel="0" collapsed="false">
      <c r="A157" s="15" t="s">
        <v>61</v>
      </c>
      <c r="B157" s="15" t="s">
        <v>61</v>
      </c>
      <c r="C157" s="15" t="s">
        <v>82</v>
      </c>
      <c r="D157" s="15" t="n">
        <v>24</v>
      </c>
      <c r="E157" s="15" t="n">
        <v>24</v>
      </c>
      <c r="F157" s="15" t="n">
        <v>0</v>
      </c>
      <c r="G157" s="10" t="n">
        <f aca="false">IF(OR(E157="",E157=0),"n/a",IF(F157&lt;0,"n/a",ROUND(F157/E157,1)))</f>
        <v>0</v>
      </c>
      <c r="H157" s="10" t="str">
        <f aca="false">IF(F157&lt;0,"Negative (check entry)",IF(OR(E157="",E157=0),IF(F157=0,"No Activity","OK"),IF(F157/E157&lt;0.5,"Low Stock",IF(F157/E157&gt;3,"Overstock","OK"))))</f>
        <v>Low Stock</v>
      </c>
      <c r="I157" s="16"/>
    </row>
    <row r="158" customFormat="false" ht="15" hidden="false" customHeight="false" outlineLevel="0" collapsed="false">
      <c r="A158" s="15" t="s">
        <v>61</v>
      </c>
      <c r="B158" s="15" t="s">
        <v>61</v>
      </c>
      <c r="C158" s="15" t="s">
        <v>103</v>
      </c>
      <c r="D158" s="15" t="n">
        <v>1212</v>
      </c>
      <c r="E158" s="15" t="n">
        <v>1032</v>
      </c>
      <c r="F158" s="15" t="n">
        <v>180</v>
      </c>
      <c r="G158" s="10" t="n">
        <f aca="false">IF(OR(E158="",E158=0),"n/a",IF(F158&lt;0,"n/a",ROUND(F158/E158,1)))</f>
        <v>0.2</v>
      </c>
      <c r="H158" s="10" t="str">
        <f aca="false">IF(F158&lt;0,"Negative (check entry)",IF(OR(E158="",E158=0),IF(F158=0,"No Activity","OK"),IF(F158/E158&lt;0.5,"Low Stock",IF(F158/E158&gt;3,"Overstock","OK"))))</f>
        <v>Low Stock</v>
      </c>
      <c r="I158" s="16"/>
    </row>
    <row r="159" customFormat="false" ht="15" hidden="false" customHeight="false" outlineLevel="0" collapsed="false">
      <c r="A159" s="15" t="s">
        <v>61</v>
      </c>
      <c r="B159" s="15" t="s">
        <v>61</v>
      </c>
      <c r="C159" s="15" t="s">
        <v>59</v>
      </c>
      <c r="D159" s="15" t="n">
        <v>120</v>
      </c>
      <c r="E159" s="15" t="n">
        <v>924</v>
      </c>
      <c r="F159" s="15" t="n">
        <v>-48</v>
      </c>
      <c r="G159" s="10" t="str">
        <f aca="false">IF(OR(E159="",E159=0),"n/a",IF(F159&lt;0,"n/a",ROUND(F159/E159,1)))</f>
        <v>n/a</v>
      </c>
      <c r="H159" s="10" t="str">
        <f aca="false">IF(F159&lt;0,"Negative (check entry)",IF(OR(E159="",E159=0),IF(F159=0,"No Activity","OK"),IF(F159/E159&lt;0.5,"Low Stock",IF(F159/E159&gt;3,"Overstock","OK"))))</f>
        <v>Negative (check entry)</v>
      </c>
      <c r="I159" s="16"/>
    </row>
    <row r="160" customFormat="false" ht="15" hidden="false" customHeight="false" outlineLevel="0" collapsed="false">
      <c r="A160" s="15" t="s">
        <v>61</v>
      </c>
      <c r="B160" s="15" t="s">
        <v>61</v>
      </c>
      <c r="C160" s="15" t="s">
        <v>73</v>
      </c>
      <c r="D160" s="15" t="n">
        <v>216</v>
      </c>
      <c r="E160" s="15" t="n">
        <v>48</v>
      </c>
      <c r="F160" s="15" t="n">
        <v>168</v>
      </c>
      <c r="G160" s="10" t="n">
        <f aca="false">IF(OR(E160="",E160=0),"n/a",IF(F160&lt;0,"n/a",ROUND(F160/E160,1)))</f>
        <v>3.5</v>
      </c>
      <c r="H160" s="10" t="str">
        <f aca="false">IF(F160&lt;0,"Negative (check entry)",IF(OR(E160="",E160=0),IF(F160=0,"No Activity","OK"),IF(F160/E160&lt;0.5,"Low Stock",IF(F160/E160&gt;3,"Overstock","OK"))))</f>
        <v>Overstock</v>
      </c>
      <c r="I160" s="16"/>
    </row>
    <row r="161" customFormat="false" ht="15" hidden="false" customHeight="false" outlineLevel="0" collapsed="false">
      <c r="A161" s="15" t="s">
        <v>61</v>
      </c>
      <c r="B161" s="15" t="s">
        <v>61</v>
      </c>
      <c r="C161" s="15" t="s">
        <v>75</v>
      </c>
      <c r="D161" s="15" t="n">
        <v>516</v>
      </c>
      <c r="E161" s="15" t="n">
        <v>528</v>
      </c>
      <c r="F161" s="15" t="n">
        <v>-12</v>
      </c>
      <c r="G161" s="10" t="str">
        <f aca="false">IF(OR(E161="",E161=0),"n/a",IF(F161&lt;0,"n/a",ROUND(F161/E161,1)))</f>
        <v>n/a</v>
      </c>
      <c r="H161" s="10" t="str">
        <f aca="false">IF(F161&lt;0,"Negative (check entry)",IF(OR(E161="",E161=0),IF(F161=0,"No Activity","OK"),IF(F161/E161&lt;0.5,"Low Stock",IF(F161/E161&gt;3,"Overstock","OK"))))</f>
        <v>Negative (check entry)</v>
      </c>
      <c r="I161" s="16"/>
    </row>
    <row r="162" customFormat="false" ht="15" hidden="false" customHeight="false" outlineLevel="0" collapsed="false">
      <c r="A162" s="15" t="s">
        <v>61</v>
      </c>
      <c r="B162" s="15" t="s">
        <v>61</v>
      </c>
      <c r="C162" s="15" t="s">
        <v>42</v>
      </c>
      <c r="D162" s="15" t="n">
        <v>0</v>
      </c>
      <c r="E162" s="15" t="n">
        <v>0</v>
      </c>
      <c r="F162" s="15" t="n">
        <v>0</v>
      </c>
      <c r="G162" s="10" t="str">
        <f aca="false">IF(OR(E162="",E162=0),"n/a",IF(F162&lt;0,"n/a",ROUND(F162/E162,1)))</f>
        <v>n/a</v>
      </c>
      <c r="H162" s="10" t="str">
        <f aca="false">IF(F162&lt;0,"Negative (check entry)",IF(OR(E162="",E162=0),IF(F162=0,"No Activity","OK"),IF(F162/E162&lt;0.5,"Low Stock",IF(F162/E162&gt;3,"Overstock","OK"))))</f>
        <v>No Activity</v>
      </c>
      <c r="I162" s="16"/>
    </row>
    <row r="163" customFormat="false" ht="15" hidden="false" customHeight="false" outlineLevel="0" collapsed="false">
      <c r="A163" s="15" t="s">
        <v>61</v>
      </c>
      <c r="B163" s="15" t="s">
        <v>61</v>
      </c>
      <c r="C163" s="15" t="s">
        <v>80</v>
      </c>
      <c r="D163" s="15" t="n">
        <v>12</v>
      </c>
      <c r="E163" s="15" t="n">
        <v>12</v>
      </c>
      <c r="F163" s="15" t="n">
        <v>0</v>
      </c>
      <c r="G163" s="10" t="n">
        <f aca="false">IF(OR(E163="",E163=0),"n/a",IF(F163&lt;0,"n/a",ROUND(F163/E163,1)))</f>
        <v>0</v>
      </c>
      <c r="H163" s="10" t="str">
        <f aca="false">IF(F163&lt;0,"Negative (check entry)",IF(OR(E163="",E163=0),IF(F163=0,"No Activity","OK"),IF(F163/E163&lt;0.5,"Low Stock",IF(F163/E163&gt;3,"Overstock","OK"))))</f>
        <v>Low Stock</v>
      </c>
      <c r="I163" s="16"/>
    </row>
    <row r="164" customFormat="false" ht="15" hidden="false" customHeight="false" outlineLevel="0" collapsed="false">
      <c r="A164" s="15" t="s">
        <v>61</v>
      </c>
      <c r="B164" s="15" t="s">
        <v>61</v>
      </c>
      <c r="C164" s="15" t="s">
        <v>38</v>
      </c>
      <c r="D164" s="15" t="n">
        <v>636</v>
      </c>
      <c r="E164" s="15" t="n">
        <v>1392</v>
      </c>
      <c r="F164" s="15" t="n">
        <v>12</v>
      </c>
      <c r="G164" s="10" t="n">
        <f aca="false">IF(OR(E164="",E164=0),"n/a",IF(F164&lt;0,"n/a",ROUND(F164/E164,1)))</f>
        <v>0</v>
      </c>
      <c r="H164" s="10" t="str">
        <f aca="false">IF(F164&lt;0,"Negative (check entry)",IF(OR(E164="",E164=0),IF(F164=0,"No Activity","OK"),IF(F164/E164&lt;0.5,"Low Stock",IF(F164/E164&gt;3,"Overstock","OK"))))</f>
        <v>Low Stock</v>
      </c>
      <c r="I164" s="16"/>
    </row>
    <row r="165" customFormat="false" ht="15" hidden="false" customHeight="false" outlineLevel="0" collapsed="false">
      <c r="A165" s="15" t="s">
        <v>61</v>
      </c>
      <c r="B165" s="15" t="s">
        <v>61</v>
      </c>
      <c r="C165" s="15" t="s">
        <v>72</v>
      </c>
      <c r="D165" s="15" t="n">
        <v>0</v>
      </c>
      <c r="E165" s="15" t="n">
        <v>0</v>
      </c>
      <c r="F165" s="15" t="n">
        <v>0</v>
      </c>
      <c r="G165" s="10" t="str">
        <f aca="false">IF(OR(E165="",E165=0),"n/a",IF(F165&lt;0,"n/a",ROUND(F165/E165,1)))</f>
        <v>n/a</v>
      </c>
      <c r="H165" s="10" t="str">
        <f aca="false">IF(F165&lt;0,"Negative (check entry)",IF(OR(E165="",E165=0),IF(F165=0,"No Activity","OK"),IF(F165/E165&lt;0.5,"Low Stock",IF(F165/E165&gt;3,"Overstock","OK"))))</f>
        <v>No Activity</v>
      </c>
      <c r="I165" s="16"/>
    </row>
    <row r="166" customFormat="false" ht="15" hidden="false" customHeight="false" outlineLevel="0" collapsed="false">
      <c r="A166" s="15" t="s">
        <v>61</v>
      </c>
      <c r="B166" s="15" t="s">
        <v>61</v>
      </c>
      <c r="C166" s="15" t="s">
        <v>101</v>
      </c>
      <c r="D166" s="15" t="n">
        <v>3420</v>
      </c>
      <c r="E166" s="15" t="n">
        <v>4044</v>
      </c>
      <c r="F166" s="15" t="n">
        <v>900</v>
      </c>
      <c r="G166" s="10" t="n">
        <f aca="false">IF(OR(E166="",E166=0),"n/a",IF(F166&lt;0,"n/a",ROUND(F166/E166,1)))</f>
        <v>0.2</v>
      </c>
      <c r="H166" s="10" t="str">
        <f aca="false">IF(F166&lt;0,"Negative (check entry)",IF(OR(E166="",E166=0),IF(F166=0,"No Activity","OK"),IF(F166/E166&lt;0.5,"Low Stock",IF(F166/E166&gt;3,"Overstock","OK"))))</f>
        <v>Low Stock</v>
      </c>
      <c r="I166" s="16"/>
    </row>
    <row r="167" customFormat="false" ht="15" hidden="false" customHeight="false" outlineLevel="0" collapsed="false">
      <c r="A167" s="15" t="s">
        <v>61</v>
      </c>
      <c r="B167" s="15" t="s">
        <v>61</v>
      </c>
      <c r="C167" s="15" t="s">
        <v>149</v>
      </c>
      <c r="D167" s="15" t="n">
        <v>0</v>
      </c>
      <c r="E167" s="15" t="n">
        <v>0</v>
      </c>
      <c r="F167" s="15" t="n">
        <v>25</v>
      </c>
      <c r="G167" s="10" t="str">
        <f aca="false">IF(OR(E167="",E167=0),"n/a",IF(F167&lt;0,"n/a",ROUND(F167/E167,1)))</f>
        <v>n/a</v>
      </c>
      <c r="H167" s="10" t="str">
        <f aca="false">IF(F167&lt;0,"Negative (check entry)",IF(OR(E167="",E167=0),IF(F167=0,"No Activity","OK"),IF(F167/E167&lt;0.5,"Low Stock",IF(F167/E167&gt;3,"Overstock","OK"))))</f>
        <v>OK</v>
      </c>
      <c r="I167" s="16"/>
    </row>
    <row r="168" customFormat="false" ht="15" hidden="false" customHeight="false" outlineLevel="0" collapsed="false">
      <c r="A168" s="15" t="s">
        <v>61</v>
      </c>
      <c r="B168" s="15" t="s">
        <v>61</v>
      </c>
      <c r="C168" s="15" t="s">
        <v>102</v>
      </c>
      <c r="D168" s="15" t="n">
        <v>3420</v>
      </c>
      <c r="E168" s="15" t="n">
        <v>4044</v>
      </c>
      <c r="F168" s="15" t="n">
        <v>925</v>
      </c>
      <c r="G168" s="10" t="n">
        <f aca="false">IF(OR(E168="",E168=0),"n/a",IF(F168&lt;0,"n/a",ROUND(F168/E168,1)))</f>
        <v>0.2</v>
      </c>
      <c r="H168" s="10" t="str">
        <f aca="false">IF(F168&lt;0,"Negative (check entry)",IF(OR(E168="",E168=0),IF(F168=0,"No Activity","OK"),IF(F168/E168&lt;0.5,"Low Stock",IF(F168/E168&gt;3,"Overstock","OK"))))</f>
        <v>Low Stock</v>
      </c>
      <c r="I168" s="16"/>
    </row>
    <row r="169" customFormat="false" ht="15" hidden="false" customHeight="false" outlineLevel="0" collapsed="false">
      <c r="A169" s="15" t="s">
        <v>61</v>
      </c>
      <c r="B169" s="15" t="s">
        <v>61</v>
      </c>
      <c r="C169" s="15" t="s">
        <v>150</v>
      </c>
      <c r="D169" s="15" t="n">
        <v>0</v>
      </c>
      <c r="E169" s="15" t="n">
        <v>0</v>
      </c>
      <c r="F169" s="15" t="n">
        <v>44</v>
      </c>
      <c r="G169" s="10" t="str">
        <f aca="false">IF(OR(E169="",E169=0),"n/a",IF(F169&lt;0,"n/a",ROUND(F169/E169,1)))</f>
        <v>n/a</v>
      </c>
      <c r="H169" s="10" t="str">
        <f aca="false">IF(F169&lt;0,"Negative (check entry)",IF(OR(E169="",E169=0),IF(F169=0,"No Activity","OK"),IF(F169/E169&lt;0.5,"Low Stock",IF(F169/E169&gt;3,"Overstock","OK"))))</f>
        <v>OK</v>
      </c>
      <c r="I169" s="16"/>
    </row>
    <row r="170" customFormat="false" ht="15" hidden="false" customHeight="false" outlineLevel="0" collapsed="false">
      <c r="A170" s="15" t="s">
        <v>61</v>
      </c>
      <c r="B170" s="15" t="s">
        <v>61</v>
      </c>
      <c r="C170" s="15" t="s">
        <v>104</v>
      </c>
      <c r="D170" s="15" t="n">
        <v>3420</v>
      </c>
      <c r="E170" s="15" t="n">
        <v>4044</v>
      </c>
      <c r="F170" s="15" t="n">
        <v>969</v>
      </c>
      <c r="G170" s="10" t="n">
        <f aca="false">IF(OR(E170="",E170=0),"n/a",IF(F170&lt;0,"n/a",ROUND(F170/E170,1)))</f>
        <v>0.2</v>
      </c>
      <c r="H170" s="10" t="str">
        <f aca="false">IF(F170&lt;0,"Negative (check entry)",IF(OR(E170="",E170=0),IF(F170=0,"No Activity","OK"),IF(F170/E170&lt;0.5,"Low Stock",IF(F170/E170&gt;3,"Overstock","OK"))))</f>
        <v>Low Stock</v>
      </c>
      <c r="I170" s="16"/>
    </row>
    <row r="171" customFormat="false" ht="15" hidden="false" customHeight="false" outlineLevel="0" collapsed="false">
      <c r="A171" s="15" t="s">
        <v>180</v>
      </c>
      <c r="B171" s="15" t="s">
        <v>181</v>
      </c>
      <c r="C171" s="15" t="s">
        <v>131</v>
      </c>
      <c r="D171" s="15" t="n">
        <v>2300</v>
      </c>
      <c r="E171" s="15" t="n">
        <v>80</v>
      </c>
      <c r="F171" s="15" t="n">
        <v>2220</v>
      </c>
      <c r="G171" s="10" t="n">
        <f aca="false">IF(OR(E171="",E171=0),"n/a",IF(F171&lt;0,"n/a",ROUND(F171/E171,1)))</f>
        <v>27.8</v>
      </c>
      <c r="H171" s="10" t="str">
        <f aca="false">IF(F171&lt;0,"Negative (check entry)",IF(OR(E171="",E171=0),IF(F171=0,"No Activity","OK"),IF(F171/E171&lt;0.5,"Low Stock",IF(F171/E171&gt;3,"Overstock","OK"))))</f>
        <v>Overstock</v>
      </c>
      <c r="I171" s="16"/>
    </row>
    <row r="172" customFormat="false" ht="15" hidden="false" customHeight="false" outlineLevel="0" collapsed="false">
      <c r="A172" s="15" t="s">
        <v>180</v>
      </c>
      <c r="B172" s="15" t="s">
        <v>181</v>
      </c>
      <c r="C172" s="15" t="s">
        <v>86</v>
      </c>
      <c r="D172" s="15" t="n">
        <v>180</v>
      </c>
      <c r="E172" s="15" t="n">
        <v>20</v>
      </c>
      <c r="F172" s="15" t="n">
        <v>160</v>
      </c>
      <c r="G172" s="10" t="n">
        <f aca="false">IF(OR(E172="",E172=0),"n/a",IF(F172&lt;0,"n/a",ROUND(F172/E172,1)))</f>
        <v>8</v>
      </c>
      <c r="H172" s="10" t="str">
        <f aca="false">IF(F172&lt;0,"Negative (check entry)",IF(OR(E172="",E172=0),IF(F172=0,"No Activity","OK"),IF(F172/E172&lt;0.5,"Low Stock",IF(F172/E172&gt;3,"Overstock","OK"))))</f>
        <v>Overstock</v>
      </c>
      <c r="I172" s="16"/>
    </row>
    <row r="173" customFormat="false" ht="15" hidden="false" customHeight="false" outlineLevel="0" collapsed="false">
      <c r="A173" s="15" t="s">
        <v>180</v>
      </c>
      <c r="B173" s="15" t="s">
        <v>181</v>
      </c>
      <c r="C173" s="15" t="s">
        <v>73</v>
      </c>
      <c r="D173" s="15" t="n">
        <v>920</v>
      </c>
      <c r="E173" s="15" t="n">
        <v>60</v>
      </c>
      <c r="F173" s="15" t="n">
        <v>860</v>
      </c>
      <c r="G173" s="10" t="n">
        <f aca="false">IF(OR(E173="",E173=0),"n/a",IF(F173&lt;0,"n/a",ROUND(F173/E173,1)))</f>
        <v>14.3</v>
      </c>
      <c r="H173" s="10" t="str">
        <f aca="false">IF(F173&lt;0,"Negative (check entry)",IF(OR(E173="",E173=0),IF(F173=0,"No Activity","OK"),IF(F173/E173&lt;0.5,"Low Stock",IF(F173/E173&gt;3,"Overstock","OK"))))</f>
        <v>Overstock</v>
      </c>
      <c r="I173" s="16"/>
    </row>
    <row r="174" customFormat="false" ht="15" hidden="false" customHeight="false" outlineLevel="0" collapsed="false">
      <c r="A174" s="15" t="s">
        <v>180</v>
      </c>
      <c r="B174" s="15" t="s">
        <v>181</v>
      </c>
      <c r="C174" s="15" t="s">
        <v>52</v>
      </c>
      <c r="D174" s="15" t="n">
        <v>960</v>
      </c>
      <c r="E174" s="15" t="n">
        <v>60</v>
      </c>
      <c r="F174" s="15" t="n">
        <v>900</v>
      </c>
      <c r="G174" s="10" t="n">
        <f aca="false">IF(OR(E174="",E174=0),"n/a",IF(F174&lt;0,"n/a",ROUND(F174/E174,1)))</f>
        <v>15</v>
      </c>
      <c r="H174" s="10" t="str">
        <f aca="false">IF(F174&lt;0,"Negative (check entry)",IF(OR(E174="",E174=0),IF(F174=0,"No Activity","OK"),IF(F174/E174&lt;0.5,"Low Stock",IF(F174/E174&gt;3,"Overstock","OK"))))</f>
        <v>Overstock</v>
      </c>
      <c r="I174" s="16"/>
    </row>
    <row r="175" customFormat="false" ht="15" hidden="false" customHeight="false" outlineLevel="0" collapsed="false">
      <c r="A175" s="15" t="s">
        <v>180</v>
      </c>
      <c r="B175" s="15" t="s">
        <v>181</v>
      </c>
      <c r="C175" s="15" t="s">
        <v>60</v>
      </c>
      <c r="D175" s="15" t="n">
        <v>0</v>
      </c>
      <c r="E175" s="15" t="n">
        <v>0</v>
      </c>
      <c r="F175" s="15" t="n">
        <v>0</v>
      </c>
      <c r="G175" s="10" t="str">
        <f aca="false">IF(OR(E175="",E175=0),"n/a",IF(F175&lt;0,"n/a",ROUND(F175/E175,1)))</f>
        <v>n/a</v>
      </c>
      <c r="H175" s="10" t="str">
        <f aca="false">IF(F175&lt;0,"Negative (check entry)",IF(OR(E175="",E175=0),IF(F175=0,"No Activity","OK"),IF(F175/E175&lt;0.5,"Low Stock",IF(F175/E175&gt;3,"Overstock","OK"))))</f>
        <v>No Activity</v>
      </c>
      <c r="I175" s="16"/>
    </row>
    <row r="176" customFormat="false" ht="15" hidden="false" customHeight="false" outlineLevel="0" collapsed="false">
      <c r="A176" s="15" t="s">
        <v>180</v>
      </c>
      <c r="B176" s="15" t="s">
        <v>181</v>
      </c>
      <c r="C176" s="15" t="s">
        <v>41</v>
      </c>
      <c r="D176" s="15" t="n">
        <v>0</v>
      </c>
      <c r="E176" s="15" t="n">
        <v>0</v>
      </c>
      <c r="F176" s="15" t="n">
        <v>0</v>
      </c>
      <c r="G176" s="10" t="str">
        <f aca="false">IF(OR(E176="",E176=0),"n/a",IF(F176&lt;0,"n/a",ROUND(F176/E176,1)))</f>
        <v>n/a</v>
      </c>
      <c r="H176" s="10" t="str">
        <f aca="false">IF(F176&lt;0,"Negative (check entry)",IF(OR(E176="",E176=0),IF(F176=0,"No Activity","OK"),IF(F176/E176&lt;0.5,"Low Stock",IF(F176/E176&gt;3,"Overstock","OK"))))</f>
        <v>No Activity</v>
      </c>
      <c r="I176" s="16"/>
    </row>
    <row r="177" customFormat="false" ht="15" hidden="false" customHeight="false" outlineLevel="0" collapsed="false">
      <c r="A177" s="15" t="s">
        <v>180</v>
      </c>
      <c r="B177" s="15" t="s">
        <v>181</v>
      </c>
      <c r="C177" s="15" t="s">
        <v>74</v>
      </c>
      <c r="D177" s="15" t="n">
        <v>560</v>
      </c>
      <c r="E177" s="15" t="n">
        <v>20</v>
      </c>
      <c r="F177" s="15" t="n">
        <v>540</v>
      </c>
      <c r="G177" s="10" t="n">
        <f aca="false">IF(OR(E177="",E177=0),"n/a",IF(F177&lt;0,"n/a",ROUND(F177/E177,1)))</f>
        <v>27</v>
      </c>
      <c r="H177" s="10" t="str">
        <f aca="false">IF(F177&lt;0,"Negative (check entry)",IF(OR(E177="",E177=0),IF(F177=0,"No Activity","OK"),IF(F177/E177&lt;0.5,"Low Stock",IF(F177/E177&gt;3,"Overstock","OK"))))</f>
        <v>Overstock</v>
      </c>
      <c r="I177" s="16"/>
    </row>
    <row r="178" customFormat="false" ht="15" hidden="false" customHeight="false" outlineLevel="0" collapsed="false">
      <c r="A178" s="15" t="s">
        <v>180</v>
      </c>
      <c r="B178" s="15" t="s">
        <v>58</v>
      </c>
      <c r="C178" s="15" t="s">
        <v>182</v>
      </c>
      <c r="D178" s="15" t="n">
        <v>500</v>
      </c>
      <c r="E178" s="15" t="n">
        <v>40</v>
      </c>
      <c r="F178" s="15" t="n">
        <v>460</v>
      </c>
      <c r="G178" s="10" t="n">
        <f aca="false">IF(OR(E178="",E178=0),"n/a",IF(F178&lt;0,"n/a",ROUND(F178/E178,1)))</f>
        <v>11.5</v>
      </c>
      <c r="H178" s="10" t="str">
        <f aca="false">IF(F178&lt;0,"Negative (check entry)",IF(OR(E178="",E178=0),IF(F178=0,"No Activity","OK"),IF(F178/E178&lt;0.5,"Low Stock",IF(F178/E178&gt;3,"Overstock","OK"))))</f>
        <v>Overstock</v>
      </c>
      <c r="I178" s="16"/>
    </row>
    <row r="179" customFormat="false" ht="15" hidden="false" customHeight="false" outlineLevel="0" collapsed="false">
      <c r="A179" s="15" t="s">
        <v>180</v>
      </c>
      <c r="B179" s="15" t="s">
        <v>58</v>
      </c>
      <c r="C179" s="15" t="s">
        <v>38</v>
      </c>
      <c r="D179" s="15" t="n">
        <v>3840</v>
      </c>
      <c r="E179" s="15" t="n">
        <v>1000</v>
      </c>
      <c r="F179" s="15" t="n">
        <v>2840</v>
      </c>
      <c r="G179" s="10" t="n">
        <f aca="false">IF(OR(E179="",E179=0),"n/a",IF(F179&lt;0,"n/a",ROUND(F179/E179,1)))</f>
        <v>2.8</v>
      </c>
      <c r="H179" s="10" t="str">
        <f aca="false">IF(F179&lt;0,"Negative (check entry)",IF(OR(E179="",E179=0),IF(F179=0,"No Activity","OK"),IF(F179/E179&lt;0.5,"Low Stock",IF(F179/E179&gt;3,"Overstock","OK"))))</f>
        <v>OK</v>
      </c>
      <c r="I179" s="16"/>
    </row>
    <row r="180" customFormat="false" ht="15" hidden="false" customHeight="false" outlineLevel="0" collapsed="false">
      <c r="A180" s="15" t="s">
        <v>180</v>
      </c>
      <c r="B180" s="15" t="s">
        <v>58</v>
      </c>
      <c r="C180" s="15" t="s">
        <v>59</v>
      </c>
      <c r="D180" s="15" t="n">
        <v>3660</v>
      </c>
      <c r="E180" s="15" t="n">
        <v>780</v>
      </c>
      <c r="F180" s="15" t="n">
        <v>2880</v>
      </c>
      <c r="G180" s="10" t="n">
        <f aca="false">IF(OR(E180="",E180=0),"n/a",IF(F180&lt;0,"n/a",ROUND(F180/E180,1)))</f>
        <v>3.7</v>
      </c>
      <c r="H180" s="10" t="str">
        <f aca="false">IF(F180&lt;0,"Negative (check entry)",IF(OR(E180="",E180=0),IF(F180=0,"No Activity","OK"),IF(F180/E180&lt;0.5,"Low Stock",IF(F180/E180&gt;3,"Overstock","OK"))))</f>
        <v>Overstock</v>
      </c>
      <c r="I180" s="16"/>
    </row>
    <row r="181" customFormat="false" ht="15" hidden="false" customHeight="false" outlineLevel="0" collapsed="false">
      <c r="A181" s="15" t="s">
        <v>180</v>
      </c>
      <c r="B181" s="15" t="s">
        <v>58</v>
      </c>
      <c r="C181" s="15" t="s">
        <v>120</v>
      </c>
      <c r="D181" s="15" t="n">
        <v>0</v>
      </c>
      <c r="E181" s="15" t="n">
        <v>0</v>
      </c>
      <c r="F181" s="15" t="n">
        <v>0</v>
      </c>
      <c r="G181" s="10" t="str">
        <f aca="false">IF(OR(E181="",E181=0),"n/a",IF(F181&lt;0,"n/a",ROUND(F181/E181,1)))</f>
        <v>n/a</v>
      </c>
      <c r="H181" s="10" t="str">
        <f aca="false">IF(F181&lt;0,"Negative (check entry)",IF(OR(E181="",E181=0),IF(F181=0,"No Activity","OK"),IF(F181/E181&lt;0.5,"Low Stock",IF(F181/E181&gt;3,"Overstock","OK"))))</f>
        <v>No Activity</v>
      </c>
      <c r="I181" s="16"/>
    </row>
    <row r="182" customFormat="false" ht="15" hidden="false" customHeight="false" outlineLevel="0" collapsed="false">
      <c r="A182" s="15" t="s">
        <v>180</v>
      </c>
      <c r="B182" s="15" t="s">
        <v>58</v>
      </c>
      <c r="C182" s="15" t="s">
        <v>42</v>
      </c>
      <c r="D182" s="15" t="n">
        <v>0</v>
      </c>
      <c r="E182" s="15" t="n">
        <v>0</v>
      </c>
      <c r="F182" s="15" t="n">
        <v>0</v>
      </c>
      <c r="G182" s="10" t="str">
        <f aca="false">IF(OR(E182="",E182=0),"n/a",IF(F182&lt;0,"n/a",ROUND(F182/E182,1)))</f>
        <v>n/a</v>
      </c>
      <c r="H182" s="10" t="str">
        <f aca="false">IF(F182&lt;0,"Negative (check entry)",IF(OR(E182="",E182=0),IF(F182=0,"No Activity","OK"),IF(F182/E182&lt;0.5,"Low Stock",IF(F182/E182&gt;3,"Overstock","OK"))))</f>
        <v>No Activity</v>
      </c>
      <c r="I182" s="16"/>
    </row>
    <row r="183" customFormat="false" ht="15" hidden="false" customHeight="false" outlineLevel="0" collapsed="false">
      <c r="A183" s="15" t="s">
        <v>180</v>
      </c>
      <c r="B183" s="15" t="s">
        <v>58</v>
      </c>
      <c r="C183" s="15" t="s">
        <v>118</v>
      </c>
      <c r="D183" s="15" t="n">
        <v>0</v>
      </c>
      <c r="E183" s="15" t="n">
        <v>0</v>
      </c>
      <c r="F183" s="15" t="n">
        <v>0</v>
      </c>
      <c r="G183" s="10" t="str">
        <f aca="false">IF(OR(E183="",E183=0),"n/a",IF(F183&lt;0,"n/a",ROUND(F183/E183,1)))</f>
        <v>n/a</v>
      </c>
      <c r="H183" s="10" t="str">
        <f aca="false">IF(F183&lt;0,"Negative (check entry)",IF(OR(E183="",E183=0),IF(F183=0,"No Activity","OK"),IF(F183/E183&lt;0.5,"Low Stock",IF(F183/E183&gt;3,"Overstock","OK"))))</f>
        <v>No Activity</v>
      </c>
      <c r="I183" s="16"/>
    </row>
    <row r="184" customFormat="false" ht="15" hidden="false" customHeight="false" outlineLevel="0" collapsed="false">
      <c r="A184" s="15" t="s">
        <v>180</v>
      </c>
      <c r="B184" s="15" t="s">
        <v>58</v>
      </c>
      <c r="C184" s="15" t="s">
        <v>183</v>
      </c>
      <c r="D184" s="15" t="n">
        <v>0</v>
      </c>
      <c r="E184" s="15" t="n">
        <v>0</v>
      </c>
      <c r="F184" s="15" t="n">
        <v>0</v>
      </c>
      <c r="G184" s="10" t="str">
        <f aca="false">IF(OR(E184="",E184=0),"n/a",IF(F184&lt;0,"n/a",ROUND(F184/E184,1)))</f>
        <v>n/a</v>
      </c>
      <c r="H184" s="10" t="str">
        <f aca="false">IF(F184&lt;0,"Negative (check entry)",IF(OR(E184="",E184=0),IF(F184=0,"No Activity","OK"),IF(F184/E184&lt;0.5,"Low Stock",IF(F184/E184&gt;3,"Overstock","OK"))))</f>
        <v>No Activity</v>
      </c>
      <c r="I184" s="16"/>
    </row>
    <row r="185" customFormat="false" ht="15" hidden="false" customHeight="false" outlineLevel="0" collapsed="false">
      <c r="A185" s="15" t="s">
        <v>180</v>
      </c>
      <c r="B185" s="15" t="s">
        <v>58</v>
      </c>
      <c r="C185" s="15" t="s">
        <v>184</v>
      </c>
      <c r="D185" s="15" t="n">
        <v>0</v>
      </c>
      <c r="E185" s="15" t="n">
        <v>0</v>
      </c>
      <c r="F185" s="15" t="n">
        <v>0</v>
      </c>
      <c r="G185" s="10" t="str">
        <f aca="false">IF(OR(E185="",E185=0),"n/a",IF(F185&lt;0,"n/a",ROUND(F185/E185,1)))</f>
        <v>n/a</v>
      </c>
      <c r="H185" s="10" t="str">
        <f aca="false">IF(F185&lt;0,"Negative (check entry)",IF(OR(E185="",E185=0),IF(F185=0,"No Activity","OK"),IF(F185/E185&lt;0.5,"Low Stock",IF(F185/E185&gt;3,"Overstock","OK"))))</f>
        <v>No Activity</v>
      </c>
      <c r="I185" s="16"/>
    </row>
    <row r="186" customFormat="false" ht="15" hidden="false" customHeight="false" outlineLevel="0" collapsed="false">
      <c r="A186" s="15" t="s">
        <v>180</v>
      </c>
      <c r="B186" s="15" t="s">
        <v>58</v>
      </c>
      <c r="C186" s="15" t="s">
        <v>185</v>
      </c>
      <c r="D186" s="15" t="n">
        <v>0</v>
      </c>
      <c r="E186" s="15" t="n">
        <v>0</v>
      </c>
      <c r="F186" s="15" t="n">
        <v>0</v>
      </c>
      <c r="G186" s="10" t="str">
        <f aca="false">IF(OR(E186="",E186=0),"n/a",IF(F186&lt;0,"n/a",ROUND(F186/E186,1)))</f>
        <v>n/a</v>
      </c>
      <c r="H186" s="10" t="str">
        <f aca="false">IF(F186&lt;0,"Negative (check entry)",IF(OR(E186="",E186=0),IF(F186=0,"No Activity","OK"),IF(F186/E186&lt;0.5,"Low Stock",IF(F186/E186&gt;3,"Overstock","OK"))))</f>
        <v>No Activity</v>
      </c>
      <c r="I186" s="16"/>
    </row>
    <row r="187" customFormat="false" ht="15" hidden="false" customHeight="false" outlineLevel="0" collapsed="false">
      <c r="A187" s="15" t="s">
        <v>180</v>
      </c>
      <c r="B187" s="15" t="s">
        <v>58</v>
      </c>
      <c r="C187" s="15" t="s">
        <v>101</v>
      </c>
      <c r="D187" s="15" t="n">
        <v>12920</v>
      </c>
      <c r="E187" s="15" t="n">
        <v>2060</v>
      </c>
      <c r="F187" s="15" t="n">
        <v>10860</v>
      </c>
      <c r="G187" s="10" t="n">
        <f aca="false">IF(OR(E187="",E187=0),"n/a",IF(F187&lt;0,"n/a",ROUND(F187/E187,1)))</f>
        <v>5.3</v>
      </c>
      <c r="H187" s="10" t="str">
        <f aca="false">IF(F187&lt;0,"Negative (check entry)",IF(OR(E187="",E187=0),IF(F187=0,"No Activity","OK"),IF(F187/E187&lt;0.5,"Low Stock",IF(F187/E187&gt;3,"Overstock","OK"))))</f>
        <v>Overstock</v>
      </c>
      <c r="I187" s="16"/>
    </row>
    <row r="188" customFormat="false" ht="15" hidden="false" customHeight="false" outlineLevel="0" collapsed="false">
      <c r="A188" s="15" t="s">
        <v>180</v>
      </c>
      <c r="B188" s="15" t="s">
        <v>58</v>
      </c>
      <c r="C188" s="15" t="s">
        <v>47</v>
      </c>
      <c r="D188" s="15" t="n">
        <v>0</v>
      </c>
      <c r="E188" s="15" t="n">
        <v>0</v>
      </c>
      <c r="F188" s="15" t="n">
        <v>0</v>
      </c>
      <c r="G188" s="10" t="str">
        <f aca="false">IF(OR(E188="",E188=0),"n/a",IF(F188&lt;0,"n/a",ROUND(F188/E188,1)))</f>
        <v>n/a</v>
      </c>
      <c r="H188" s="10" t="str">
        <f aca="false">IF(F188&lt;0,"Negative (check entry)",IF(OR(E188="",E188=0),IF(F188=0,"No Activity","OK"),IF(F188/E188&lt;0.5,"Low Stock",IF(F188/E188&gt;3,"Overstock","OK"))))</f>
        <v>No Activity</v>
      </c>
      <c r="I188" s="16"/>
    </row>
    <row r="189" customFormat="false" ht="15" hidden="false" customHeight="false" outlineLevel="0" collapsed="false">
      <c r="A189" s="15" t="s">
        <v>180</v>
      </c>
      <c r="B189" s="15" t="s">
        <v>58</v>
      </c>
      <c r="C189" s="15" t="s">
        <v>102</v>
      </c>
      <c r="D189" s="15" t="n">
        <v>12920</v>
      </c>
      <c r="E189" s="15" t="n">
        <v>2060</v>
      </c>
      <c r="F189" s="15" t="n">
        <v>10860</v>
      </c>
      <c r="G189" s="10" t="n">
        <f aca="false">IF(OR(E189="",E189=0),"n/a",IF(F189&lt;0,"n/a",ROUND(F189/E189,1)))</f>
        <v>5.3</v>
      </c>
      <c r="H189" s="10" t="str">
        <f aca="false">IF(F189&lt;0,"Negative (check entry)",IF(OR(E189="",E189=0),IF(F189=0,"No Activity","OK"),IF(F189/E189&lt;0.5,"Low Stock",IF(F189/E189&gt;3,"Overstock","OK"))))</f>
        <v>Overstock</v>
      </c>
      <c r="I189" s="16"/>
    </row>
    <row r="190" customFormat="false" ht="15" hidden="false" customHeight="false" outlineLevel="0" collapsed="false">
      <c r="A190" s="15" t="s">
        <v>180</v>
      </c>
      <c r="B190" s="15" t="s">
        <v>58</v>
      </c>
      <c r="C190" s="15" t="s">
        <v>172</v>
      </c>
      <c r="D190" s="15" t="n">
        <v>0</v>
      </c>
      <c r="E190" s="15" t="n">
        <v>0</v>
      </c>
      <c r="F190" s="15" t="n">
        <v>0</v>
      </c>
      <c r="G190" s="10" t="str">
        <f aca="false">IF(OR(E190="",E190=0),"n/a",IF(F190&lt;0,"n/a",ROUND(F190/E190,1)))</f>
        <v>n/a</v>
      </c>
      <c r="H190" s="10" t="str">
        <f aca="false">IF(F190&lt;0,"Negative (check entry)",IF(OR(E190="",E190=0),IF(F190=0,"No Activity","OK"),IF(F190/E190&lt;0.5,"Low Stock",IF(F190/E190&gt;3,"Overstock","OK"))))</f>
        <v>No Activity</v>
      </c>
      <c r="I190" s="16"/>
    </row>
    <row r="191" customFormat="false" ht="15" hidden="false" customHeight="false" outlineLevel="0" collapsed="false">
      <c r="A191" s="15" t="s">
        <v>180</v>
      </c>
      <c r="B191" s="15" t="s">
        <v>58</v>
      </c>
      <c r="C191" s="15" t="s">
        <v>104</v>
      </c>
      <c r="D191" s="15" t="n">
        <v>12920</v>
      </c>
      <c r="E191" s="15" t="n">
        <v>2060</v>
      </c>
      <c r="F191" s="15" t="n">
        <v>10860</v>
      </c>
      <c r="G191" s="10" t="n">
        <f aca="false">IF(OR(E191="",E191=0),"n/a",IF(F191&lt;0,"n/a",ROUND(F191/E191,1)))</f>
        <v>5.3</v>
      </c>
      <c r="H191" s="10" t="str">
        <f aca="false">IF(F191&lt;0,"Negative (check entry)",IF(OR(E191="",E191=0),IF(F191=0,"No Activity","OK"),IF(F191/E191&lt;0.5,"Low Stock",IF(F191/E191&gt;3,"Overstock","OK"))))</f>
        <v>Overstock</v>
      </c>
      <c r="I191" s="16"/>
    </row>
    <row r="192" customFormat="false" ht="15" hidden="false" customHeight="false" outlineLevel="0" collapsed="false">
      <c r="A192" s="15" t="s">
        <v>83</v>
      </c>
      <c r="B192" s="15" t="s">
        <v>186</v>
      </c>
      <c r="C192" s="15" t="s">
        <v>59</v>
      </c>
      <c r="D192" s="15" t="n">
        <v>0</v>
      </c>
      <c r="E192" s="15" t="n">
        <v>0</v>
      </c>
      <c r="F192" s="15" t="n">
        <v>0</v>
      </c>
      <c r="G192" s="10" t="str">
        <f aca="false">IF(OR(E192="",E192=0),"n/a",IF(F192&lt;0,"n/a",ROUND(F192/E192,1)))</f>
        <v>n/a</v>
      </c>
      <c r="H192" s="10" t="str">
        <f aca="false">IF(F192&lt;0,"Negative (check entry)",IF(OR(E192="",E192=0),IF(F192=0,"No Activity","OK"),IF(F192/E192&lt;0.5,"Low Stock",IF(F192/E192&gt;3,"Overstock","OK"))))</f>
        <v>No Activity</v>
      </c>
      <c r="I192" s="16"/>
    </row>
    <row r="193" customFormat="false" ht="15" hidden="false" customHeight="false" outlineLevel="0" collapsed="false">
      <c r="A193" s="15" t="s">
        <v>83</v>
      </c>
      <c r="B193" s="15" t="s">
        <v>186</v>
      </c>
      <c r="C193" s="15" t="s">
        <v>52</v>
      </c>
      <c r="D193" s="15" t="n">
        <v>0</v>
      </c>
      <c r="E193" s="15" t="n">
        <v>0</v>
      </c>
      <c r="F193" s="15" t="n">
        <v>0</v>
      </c>
      <c r="G193" s="10" t="str">
        <f aca="false">IF(OR(E193="",E193=0),"n/a",IF(F193&lt;0,"n/a",ROUND(F193/E193,1)))</f>
        <v>n/a</v>
      </c>
      <c r="H193" s="10" t="str">
        <f aca="false">IF(F193&lt;0,"Negative (check entry)",IF(OR(E193="",E193=0),IF(F193=0,"No Activity","OK"),IF(F193/E193&lt;0.5,"Low Stock",IF(F193/E193&gt;3,"Overstock","OK"))))</f>
        <v>No Activity</v>
      </c>
      <c r="I193" s="16"/>
    </row>
    <row r="194" customFormat="false" ht="15" hidden="false" customHeight="false" outlineLevel="0" collapsed="false">
      <c r="A194" s="15" t="s">
        <v>83</v>
      </c>
      <c r="B194" s="15" t="s">
        <v>186</v>
      </c>
      <c r="C194" s="15" t="s">
        <v>38</v>
      </c>
      <c r="D194" s="15" t="n">
        <v>1280</v>
      </c>
      <c r="E194" s="15" t="n">
        <v>208</v>
      </c>
      <c r="F194" s="15" t="n">
        <v>1072</v>
      </c>
      <c r="G194" s="10" t="n">
        <f aca="false">IF(OR(E194="",E194=0),"n/a",IF(F194&lt;0,"n/a",ROUND(F194/E194,1)))</f>
        <v>5.2</v>
      </c>
      <c r="H194" s="10" t="str">
        <f aca="false">IF(F194&lt;0,"Negative (check entry)",IF(OR(E194="",E194=0),IF(F194=0,"No Activity","OK"),IF(F194/E194&lt;0.5,"Low Stock",IF(F194/E194&gt;3,"Overstock","OK"))))</f>
        <v>Overstock</v>
      </c>
      <c r="I194" s="16"/>
    </row>
    <row r="195" customFormat="false" ht="15" hidden="false" customHeight="false" outlineLevel="0" collapsed="false">
      <c r="A195" s="15" t="s">
        <v>83</v>
      </c>
      <c r="B195" s="15" t="s">
        <v>186</v>
      </c>
      <c r="C195" s="15" t="s">
        <v>144</v>
      </c>
      <c r="D195" s="15" t="n">
        <v>0</v>
      </c>
      <c r="E195" s="15" t="n">
        <v>0</v>
      </c>
      <c r="F195" s="15" t="n">
        <v>0</v>
      </c>
      <c r="G195" s="10" t="str">
        <f aca="false">IF(OR(E195="",E195=0),"n/a",IF(F195&lt;0,"n/a",ROUND(F195/E195,1)))</f>
        <v>n/a</v>
      </c>
      <c r="H195" s="10" t="str">
        <f aca="false">IF(F195&lt;0,"Negative (check entry)",IF(OR(E195="",E195=0),IF(F195=0,"No Activity","OK"),IF(F195/E195&lt;0.5,"Low Stock",IF(F195/E195&gt;3,"Overstock","OK"))))</f>
        <v>No Activity</v>
      </c>
      <c r="I195" s="16"/>
    </row>
    <row r="196" customFormat="false" ht="15" hidden="false" customHeight="false" outlineLevel="0" collapsed="false">
      <c r="A196" s="15" t="s">
        <v>83</v>
      </c>
      <c r="B196" s="15" t="s">
        <v>186</v>
      </c>
      <c r="C196" s="15" t="s">
        <v>187</v>
      </c>
      <c r="D196" s="15" t="n">
        <v>0</v>
      </c>
      <c r="E196" s="15" t="n">
        <v>0</v>
      </c>
      <c r="F196" s="15" t="n">
        <v>0</v>
      </c>
      <c r="G196" s="10" t="str">
        <f aca="false">IF(OR(E196="",E196=0),"n/a",IF(F196&lt;0,"n/a",ROUND(F196/E196,1)))</f>
        <v>n/a</v>
      </c>
      <c r="H196" s="10" t="str">
        <f aca="false">IF(F196&lt;0,"Negative (check entry)",IF(OR(E196="",E196=0),IF(F196=0,"No Activity","OK"),IF(F196/E196&lt;0.5,"Low Stock",IF(F196/E196&gt;3,"Overstock","OK"))))</f>
        <v>No Activity</v>
      </c>
      <c r="I196" s="16"/>
    </row>
    <row r="197" customFormat="false" ht="15" hidden="false" customHeight="false" outlineLevel="0" collapsed="false">
      <c r="A197" s="15" t="s">
        <v>83</v>
      </c>
      <c r="B197" s="15" t="s">
        <v>186</v>
      </c>
      <c r="C197" s="15" t="s">
        <v>188</v>
      </c>
      <c r="D197" s="15" t="n">
        <v>0</v>
      </c>
      <c r="E197" s="15" t="n">
        <v>0</v>
      </c>
      <c r="F197" s="15" t="n">
        <v>0</v>
      </c>
      <c r="G197" s="10" t="str">
        <f aca="false">IF(OR(E197="",E197=0),"n/a",IF(F197&lt;0,"n/a",ROUND(F197/E197,1)))</f>
        <v>n/a</v>
      </c>
      <c r="H197" s="10" t="str">
        <f aca="false">IF(F197&lt;0,"Negative (check entry)",IF(OR(E197="",E197=0),IF(F197=0,"No Activity","OK"),IF(F197/E197&lt;0.5,"Low Stock",IF(F197/E197&gt;3,"Overstock","OK"))))</f>
        <v>No Activity</v>
      </c>
      <c r="I197" s="16"/>
    </row>
    <row r="198" customFormat="false" ht="15" hidden="false" customHeight="false" outlineLevel="0" collapsed="false">
      <c r="A198" s="15" t="s">
        <v>83</v>
      </c>
      <c r="B198" s="15" t="s">
        <v>186</v>
      </c>
      <c r="C198" s="15" t="s">
        <v>189</v>
      </c>
      <c r="D198" s="15" t="n">
        <v>0</v>
      </c>
      <c r="E198" s="15" t="n">
        <v>0</v>
      </c>
      <c r="F198" s="15" t="n">
        <v>0</v>
      </c>
      <c r="G198" s="10" t="str">
        <f aca="false">IF(OR(E198="",E198=0),"n/a",IF(F198&lt;0,"n/a",ROUND(F198/E198,1)))</f>
        <v>n/a</v>
      </c>
      <c r="H198" s="10" t="str">
        <f aca="false">IF(F198&lt;0,"Negative (check entry)",IF(OR(E198="",E198=0),IF(F198=0,"No Activity","OK"),IF(F198/E198&lt;0.5,"Low Stock",IF(F198/E198&gt;3,"Overstock","OK"))))</f>
        <v>No Activity</v>
      </c>
      <c r="I198" s="16"/>
    </row>
    <row r="199" customFormat="false" ht="15" hidden="false" customHeight="false" outlineLevel="0" collapsed="false">
      <c r="A199" s="15" t="s">
        <v>83</v>
      </c>
      <c r="B199" s="15" t="s">
        <v>190</v>
      </c>
      <c r="C199" s="15" t="s">
        <v>59</v>
      </c>
      <c r="D199" s="15" t="n">
        <v>992</v>
      </c>
      <c r="E199" s="15" t="n">
        <v>256</v>
      </c>
      <c r="F199" s="15" t="n">
        <v>736</v>
      </c>
      <c r="G199" s="10" t="n">
        <f aca="false">IF(OR(E199="",E199=0),"n/a",IF(F199&lt;0,"n/a",ROUND(F199/E199,1)))</f>
        <v>2.9</v>
      </c>
      <c r="H199" s="10" t="str">
        <f aca="false">IF(F199&lt;0,"Negative (check entry)",IF(OR(E199="",E199=0),IF(F199=0,"No Activity","OK"),IF(F199/E199&lt;0.5,"Low Stock",IF(F199/E199&gt;3,"Overstock","OK"))))</f>
        <v>OK</v>
      </c>
      <c r="I199" s="16"/>
    </row>
    <row r="200" customFormat="false" ht="15" hidden="false" customHeight="false" outlineLevel="0" collapsed="false">
      <c r="A200" s="15" t="s">
        <v>83</v>
      </c>
      <c r="B200" s="15" t="s">
        <v>190</v>
      </c>
      <c r="C200" s="15" t="s">
        <v>191</v>
      </c>
      <c r="D200" s="15" t="n">
        <v>1376</v>
      </c>
      <c r="E200" s="15" t="n">
        <v>1984</v>
      </c>
      <c r="F200" s="15" t="n">
        <v>1456</v>
      </c>
      <c r="G200" s="10" t="n">
        <f aca="false">IF(OR(E200="",E200=0),"n/a",IF(F200&lt;0,"n/a",ROUND(F200/E200,1)))</f>
        <v>0.7</v>
      </c>
      <c r="H200" s="10" t="str">
        <f aca="false">IF(F200&lt;0,"Negative (check entry)",IF(OR(E200="",E200=0),IF(F200=0,"No Activity","OK"),IF(F200/E200&lt;0.5,"Low Stock",IF(F200/E200&gt;3,"Overstock","OK"))))</f>
        <v>OK</v>
      </c>
      <c r="I200" s="16"/>
    </row>
    <row r="201" customFormat="false" ht="15" hidden="false" customHeight="false" outlineLevel="0" collapsed="false">
      <c r="A201" s="15" t="s">
        <v>83</v>
      </c>
      <c r="B201" s="15" t="s">
        <v>190</v>
      </c>
      <c r="C201" s="15" t="s">
        <v>192</v>
      </c>
      <c r="D201" s="15" t="n">
        <v>0</v>
      </c>
      <c r="E201" s="15" t="n">
        <v>0</v>
      </c>
      <c r="F201" s="15" t="n">
        <v>0</v>
      </c>
      <c r="G201" s="10" t="str">
        <f aca="false">IF(OR(E201="",E201=0),"n/a",IF(F201&lt;0,"n/a",ROUND(F201/E201,1)))</f>
        <v>n/a</v>
      </c>
      <c r="H201" s="10" t="str">
        <f aca="false">IF(F201&lt;0,"Negative (check entry)",IF(OR(E201="",E201=0),IF(F201=0,"No Activity","OK"),IF(F201/E201&lt;0.5,"Low Stock",IF(F201/E201&gt;3,"Overstock","OK"))))</f>
        <v>No Activity</v>
      </c>
      <c r="I201" s="16"/>
    </row>
    <row r="202" customFormat="false" ht="15" hidden="false" customHeight="false" outlineLevel="0" collapsed="false">
      <c r="A202" s="15" t="s">
        <v>83</v>
      </c>
      <c r="B202" s="15" t="s">
        <v>190</v>
      </c>
      <c r="C202" s="15" t="s">
        <v>193</v>
      </c>
      <c r="D202" s="15" t="n">
        <v>0</v>
      </c>
      <c r="E202" s="15" t="n">
        <v>0</v>
      </c>
      <c r="F202" s="15" t="n">
        <v>0</v>
      </c>
      <c r="G202" s="10" t="str">
        <f aca="false">IF(OR(E202="",E202=0),"n/a",IF(F202&lt;0,"n/a",ROUND(F202/E202,1)))</f>
        <v>n/a</v>
      </c>
      <c r="H202" s="10" t="str">
        <f aca="false">IF(F202&lt;0,"Negative (check entry)",IF(OR(E202="",E202=0),IF(F202=0,"No Activity","OK"),IF(F202/E202&lt;0.5,"Low Stock",IF(F202/E202&gt;3,"Overstock","OK"))))</f>
        <v>No Activity</v>
      </c>
      <c r="I202" s="16"/>
    </row>
    <row r="203" customFormat="false" ht="15" hidden="false" customHeight="false" outlineLevel="0" collapsed="false">
      <c r="A203" s="15" t="s">
        <v>83</v>
      </c>
      <c r="B203" s="15" t="s">
        <v>190</v>
      </c>
      <c r="C203" s="15" t="s">
        <v>119</v>
      </c>
      <c r="D203" s="15" t="n">
        <v>0</v>
      </c>
      <c r="E203" s="15" t="n">
        <v>0</v>
      </c>
      <c r="F203" s="15" t="n">
        <v>0</v>
      </c>
      <c r="G203" s="10" t="str">
        <f aca="false">IF(OR(E203="",E203=0),"n/a",IF(F203&lt;0,"n/a",ROUND(F203/E203,1)))</f>
        <v>n/a</v>
      </c>
      <c r="H203" s="10" t="str">
        <f aca="false">IF(F203&lt;0,"Negative (check entry)",IF(OR(E203="",E203=0),IF(F203=0,"No Activity","OK"),IF(F203/E203&lt;0.5,"Low Stock",IF(F203/E203&gt;3,"Overstock","OK"))))</f>
        <v>No Activity</v>
      </c>
      <c r="I203" s="16"/>
    </row>
    <row r="204" customFormat="false" ht="15" hidden="false" customHeight="false" outlineLevel="0" collapsed="false">
      <c r="A204" s="15" t="s">
        <v>83</v>
      </c>
      <c r="B204" s="15" t="s">
        <v>190</v>
      </c>
      <c r="C204" s="15" t="s">
        <v>38</v>
      </c>
      <c r="D204" s="15" t="n">
        <v>1328</v>
      </c>
      <c r="E204" s="15" t="n">
        <v>368</v>
      </c>
      <c r="F204" s="15" t="n">
        <v>1712</v>
      </c>
      <c r="G204" s="10" t="n">
        <f aca="false">IF(OR(E204="",E204=0),"n/a",IF(F204&lt;0,"n/a",ROUND(F204/E204,1)))</f>
        <v>4.7</v>
      </c>
      <c r="H204" s="10" t="str">
        <f aca="false">IF(F204&lt;0,"Negative (check entry)",IF(OR(E204="",E204=0),IF(F204=0,"No Activity","OK"),IF(F204/E204&lt;0.5,"Low Stock",IF(F204/E204&gt;3,"Overstock","OK"))))</f>
        <v>Overstock</v>
      </c>
      <c r="I204" s="16"/>
    </row>
    <row r="205" customFormat="false" ht="15" hidden="false" customHeight="false" outlineLevel="0" collapsed="false">
      <c r="A205" s="15" t="s">
        <v>83</v>
      </c>
      <c r="B205" s="15" t="s">
        <v>190</v>
      </c>
      <c r="C205" s="15" t="s">
        <v>100</v>
      </c>
      <c r="D205" s="15" t="n">
        <v>2016</v>
      </c>
      <c r="E205" s="15" t="n">
        <v>1136</v>
      </c>
      <c r="F205" s="15" t="n">
        <v>2784</v>
      </c>
      <c r="G205" s="10" t="n">
        <f aca="false">IF(OR(E205="",E205=0),"n/a",IF(F205&lt;0,"n/a",ROUND(F205/E205,1)))</f>
        <v>2.5</v>
      </c>
      <c r="H205" s="10" t="str">
        <f aca="false">IF(F205&lt;0,"Negative (check entry)",IF(OR(E205="",E205=0),IF(F205=0,"No Activity","OK"),IF(F205/E205&lt;0.5,"Low Stock",IF(F205/E205&gt;3,"Overstock","OK"))))</f>
        <v>OK</v>
      </c>
      <c r="I205" s="16"/>
    </row>
    <row r="206" customFormat="false" ht="15" hidden="false" customHeight="false" outlineLevel="0" collapsed="false">
      <c r="A206" s="15" t="s">
        <v>83</v>
      </c>
      <c r="B206" s="15" t="s">
        <v>84</v>
      </c>
      <c r="C206" s="15" t="s">
        <v>59</v>
      </c>
      <c r="D206" s="15" t="n">
        <v>768</v>
      </c>
      <c r="E206" s="15" t="n">
        <v>1056</v>
      </c>
      <c r="F206" s="15" t="n">
        <v>368</v>
      </c>
      <c r="G206" s="10" t="n">
        <f aca="false">IF(OR(E206="",E206=0),"n/a",IF(F206&lt;0,"n/a",ROUND(F206/E206,1)))</f>
        <v>0.3</v>
      </c>
      <c r="H206" s="10" t="str">
        <f aca="false">IF(F206&lt;0,"Negative (check entry)",IF(OR(E206="",E206=0),IF(F206=0,"No Activity","OK"),IF(F206/E206&lt;0.5,"Low Stock",IF(F206/E206&gt;3,"Overstock","OK"))))</f>
        <v>Low Stock</v>
      </c>
      <c r="I206" s="16"/>
    </row>
    <row r="207" customFormat="false" ht="15" hidden="false" customHeight="false" outlineLevel="0" collapsed="false">
      <c r="A207" s="15" t="s">
        <v>83</v>
      </c>
      <c r="B207" s="15" t="s">
        <v>84</v>
      </c>
      <c r="C207" s="15" t="s">
        <v>97</v>
      </c>
      <c r="D207" s="15" t="n">
        <v>1680</v>
      </c>
      <c r="E207" s="15" t="n">
        <v>3040</v>
      </c>
      <c r="F207" s="15" t="n">
        <v>224</v>
      </c>
      <c r="G207" s="10" t="n">
        <f aca="false">IF(OR(E207="",E207=0),"n/a",IF(F207&lt;0,"n/a",ROUND(F207/E207,1)))</f>
        <v>0.1</v>
      </c>
      <c r="H207" s="10" t="str">
        <f aca="false">IF(F207&lt;0,"Negative (check entry)",IF(OR(E207="",E207=0),IF(F207=0,"No Activity","OK"),IF(F207/E207&lt;0.5,"Low Stock",IF(F207/E207&gt;3,"Overstock","OK"))))</f>
        <v>Low Stock</v>
      </c>
      <c r="I207" s="16"/>
    </row>
    <row r="208" customFormat="false" ht="15" hidden="false" customHeight="false" outlineLevel="0" collapsed="false">
      <c r="A208" s="15" t="s">
        <v>83</v>
      </c>
      <c r="B208" s="15" t="s">
        <v>84</v>
      </c>
      <c r="C208" s="15" t="s">
        <v>85</v>
      </c>
      <c r="D208" s="15" t="n">
        <v>432</v>
      </c>
      <c r="E208" s="15" t="n">
        <v>432</v>
      </c>
      <c r="F208" s="15" t="n">
        <v>0</v>
      </c>
      <c r="G208" s="10" t="n">
        <f aca="false">IF(OR(E208="",E208=0),"n/a",IF(F208&lt;0,"n/a",ROUND(F208/E208,1)))</f>
        <v>0</v>
      </c>
      <c r="H208" s="10" t="str">
        <f aca="false">IF(F208&lt;0,"Negative (check entry)",IF(OR(E208="",E208=0),IF(F208=0,"No Activity","OK"),IF(F208/E208&lt;0.5,"Low Stock",IF(F208/E208&gt;3,"Overstock","OK"))))</f>
        <v>Low Stock</v>
      </c>
      <c r="I208" s="16"/>
    </row>
    <row r="209" customFormat="false" ht="15" hidden="false" customHeight="false" outlineLevel="0" collapsed="false">
      <c r="A209" s="15" t="s">
        <v>83</v>
      </c>
      <c r="B209" s="15" t="s">
        <v>84</v>
      </c>
      <c r="C209" s="15" t="s">
        <v>194</v>
      </c>
      <c r="D209" s="15" t="n">
        <v>128</v>
      </c>
      <c r="E209" s="15" t="n">
        <v>0</v>
      </c>
      <c r="F209" s="15" t="n">
        <v>128</v>
      </c>
      <c r="G209" s="10" t="str">
        <f aca="false">IF(OR(E209="",E209=0),"n/a",IF(F209&lt;0,"n/a",ROUND(F209/E209,1)))</f>
        <v>n/a</v>
      </c>
      <c r="H209" s="10" t="str">
        <f aca="false">IF(F209&lt;0,"Negative (check entry)",IF(OR(E209="",E209=0),IF(F209=0,"No Activity","OK"),IF(F209/E209&lt;0.5,"Low Stock",IF(F209/E209&gt;3,"Overstock","OK"))))</f>
        <v>OK</v>
      </c>
      <c r="I209" s="16"/>
    </row>
    <row r="210" customFormat="false" ht="15" hidden="false" customHeight="false" outlineLevel="0" collapsed="false">
      <c r="A210" s="15" t="s">
        <v>83</v>
      </c>
      <c r="B210" s="15" t="s">
        <v>84</v>
      </c>
      <c r="C210" s="15" t="s">
        <v>38</v>
      </c>
      <c r="D210" s="15" t="n">
        <v>832</v>
      </c>
      <c r="E210" s="15" t="n">
        <v>1536</v>
      </c>
      <c r="F210" s="15" t="n">
        <v>1232</v>
      </c>
      <c r="G210" s="10" t="n">
        <f aca="false">IF(OR(E210="",E210=0),"n/a",IF(F210&lt;0,"n/a",ROUND(F210/E210,1)))</f>
        <v>0.8</v>
      </c>
      <c r="H210" s="10" t="str">
        <f aca="false">IF(F210&lt;0,"Negative (check entry)",IF(OR(E210="",E210=0),IF(F210=0,"No Activity","OK"),IF(F210/E210&lt;0.5,"Low Stock",IF(F210/E210&gt;3,"Overstock","OK"))))</f>
        <v>OK</v>
      </c>
      <c r="I210" s="16"/>
    </row>
    <row r="211" customFormat="false" ht="15" hidden="false" customHeight="false" outlineLevel="0" collapsed="false">
      <c r="A211" s="15" t="s">
        <v>83</v>
      </c>
      <c r="B211" s="15" t="s">
        <v>84</v>
      </c>
      <c r="C211" s="15" t="s">
        <v>141</v>
      </c>
      <c r="D211" s="15" t="n">
        <v>0</v>
      </c>
      <c r="E211" s="15" t="n">
        <v>0</v>
      </c>
      <c r="F211" s="15" t="n">
        <v>0</v>
      </c>
      <c r="G211" s="10" t="str">
        <f aca="false">IF(OR(E211="",E211=0),"n/a",IF(F211&lt;0,"n/a",ROUND(F211/E211,1)))</f>
        <v>n/a</v>
      </c>
      <c r="H211" s="10" t="str">
        <f aca="false">IF(F211&lt;0,"Negative (check entry)",IF(OR(E211="",E211=0),IF(F211=0,"No Activity","OK"),IF(F211/E211&lt;0.5,"Low Stock",IF(F211/E211&gt;3,"Overstock","OK"))))</f>
        <v>No Activity</v>
      </c>
      <c r="I211" s="16"/>
    </row>
    <row r="212" customFormat="false" ht="15" hidden="false" customHeight="false" outlineLevel="0" collapsed="false">
      <c r="A212" s="15" t="s">
        <v>83</v>
      </c>
      <c r="B212" s="15" t="s">
        <v>84</v>
      </c>
      <c r="C212" s="15" t="s">
        <v>100</v>
      </c>
      <c r="D212" s="15" t="n">
        <v>400</v>
      </c>
      <c r="E212" s="15" t="n">
        <v>2432</v>
      </c>
      <c r="F212" s="15" t="n">
        <v>400</v>
      </c>
      <c r="G212" s="10" t="n">
        <f aca="false">IF(OR(E212="",E212=0),"n/a",IF(F212&lt;0,"n/a",ROUND(F212/E212,1)))</f>
        <v>0.2</v>
      </c>
      <c r="H212" s="10" t="str">
        <f aca="false">IF(F212&lt;0,"Negative (check entry)",IF(OR(E212="",E212=0),IF(F212=0,"No Activity","OK"),IF(F212/E212&lt;0.5,"Low Stock",IF(F212/E212&gt;3,"Overstock","OK"))))</f>
        <v>Low Stock</v>
      </c>
      <c r="I212" s="16"/>
    </row>
    <row r="213" customFormat="false" ht="15" hidden="false" customHeight="false" outlineLevel="0" collapsed="false">
      <c r="A213" s="15" t="s">
        <v>83</v>
      </c>
      <c r="B213" s="15" t="s">
        <v>84</v>
      </c>
      <c r="C213" s="15" t="s">
        <v>101</v>
      </c>
      <c r="D213" s="15" t="n">
        <v>11232</v>
      </c>
      <c r="E213" s="15" t="n">
        <v>12448</v>
      </c>
      <c r="F213" s="15" t="n">
        <v>10112</v>
      </c>
      <c r="G213" s="10" t="n">
        <f aca="false">IF(OR(E213="",E213=0),"n/a",IF(F213&lt;0,"n/a",ROUND(F213/E213,1)))</f>
        <v>0.8</v>
      </c>
      <c r="H213" s="10" t="str">
        <f aca="false">IF(F213&lt;0,"Negative (check entry)",IF(OR(E213="",E213=0),IF(F213=0,"No Activity","OK"),IF(F213/E213&lt;0.5,"Low Stock",IF(F213/E213&gt;3,"Overstock","OK"))))</f>
        <v>OK</v>
      </c>
      <c r="I213" s="16"/>
    </row>
    <row r="214" customFormat="false" ht="15" hidden="false" customHeight="false" outlineLevel="0" collapsed="false">
      <c r="A214" s="15" t="s">
        <v>83</v>
      </c>
      <c r="B214" s="15" t="s">
        <v>84</v>
      </c>
      <c r="C214" s="15" t="s">
        <v>47</v>
      </c>
      <c r="D214" s="15" t="n">
        <v>0</v>
      </c>
      <c r="E214" s="15" t="n">
        <v>0</v>
      </c>
      <c r="F214" s="15" t="n">
        <v>43</v>
      </c>
      <c r="G214" s="10" t="str">
        <f aca="false">IF(OR(E214="",E214=0),"n/a",IF(F214&lt;0,"n/a",ROUND(F214/E214,1)))</f>
        <v>n/a</v>
      </c>
      <c r="H214" s="10" t="str">
        <f aca="false">IF(F214&lt;0,"Negative (check entry)",IF(OR(E214="",E214=0),IF(F214=0,"No Activity","OK"),IF(F214/E214&lt;0.5,"Low Stock",IF(F214/E214&gt;3,"Overstock","OK"))))</f>
        <v>OK</v>
      </c>
      <c r="I214" s="16"/>
    </row>
    <row r="215" customFormat="false" ht="15" hidden="false" customHeight="false" outlineLevel="0" collapsed="false">
      <c r="A215" s="15" t="s">
        <v>83</v>
      </c>
      <c r="B215" s="15" t="s">
        <v>84</v>
      </c>
      <c r="C215" s="15" t="s">
        <v>102</v>
      </c>
      <c r="D215" s="15" t="n">
        <v>11232</v>
      </c>
      <c r="E215" s="15" t="n">
        <v>12448</v>
      </c>
      <c r="F215" s="15" t="n">
        <v>10155</v>
      </c>
      <c r="G215" s="10" t="n">
        <f aca="false">IF(OR(E215="",E215=0),"n/a",IF(F215&lt;0,"n/a",ROUND(F215/E215,1)))</f>
        <v>0.8</v>
      </c>
      <c r="H215" s="10" t="str">
        <f aca="false">IF(F215&lt;0,"Negative (check entry)",IF(OR(E215="",E215=0),IF(F215=0,"No Activity","OK"),IF(F215/E215&lt;0.5,"Low Stock",IF(F215/E215&gt;3,"Overstock","OK"))))</f>
        <v>OK</v>
      </c>
      <c r="I215" s="16"/>
    </row>
    <row r="216" customFormat="false" ht="15" hidden="false" customHeight="false" outlineLevel="0" collapsed="false">
      <c r="A216" s="15" t="s">
        <v>83</v>
      </c>
      <c r="B216" s="15" t="s">
        <v>84</v>
      </c>
      <c r="C216" s="15" t="s">
        <v>172</v>
      </c>
      <c r="D216" s="15" t="n">
        <v>0</v>
      </c>
      <c r="E216" s="15" t="n">
        <v>0</v>
      </c>
      <c r="F216" s="15" t="n">
        <v>115</v>
      </c>
      <c r="G216" s="10" t="str">
        <f aca="false">IF(OR(E216="",E216=0),"n/a",IF(F216&lt;0,"n/a",ROUND(F216/E216,1)))</f>
        <v>n/a</v>
      </c>
      <c r="H216" s="10" t="str">
        <f aca="false">IF(F216&lt;0,"Negative (check entry)",IF(OR(E216="",E216=0),IF(F216=0,"No Activity","OK"),IF(F216/E216&lt;0.5,"Low Stock",IF(F216/E216&gt;3,"Overstock","OK"))))</f>
        <v>OK</v>
      </c>
      <c r="I216" s="16"/>
    </row>
    <row r="217" customFormat="false" ht="15" hidden="false" customHeight="false" outlineLevel="0" collapsed="false">
      <c r="A217" s="15" t="s">
        <v>83</v>
      </c>
      <c r="B217" s="15" t="s">
        <v>84</v>
      </c>
      <c r="C217" s="15" t="s">
        <v>104</v>
      </c>
      <c r="D217" s="15" t="n">
        <v>11232</v>
      </c>
      <c r="E217" s="15" t="n">
        <v>12448</v>
      </c>
      <c r="F217" s="15" t="n">
        <v>10270</v>
      </c>
      <c r="G217" s="10" t="n">
        <f aca="false">IF(OR(E217="",E217=0),"n/a",IF(F217&lt;0,"n/a",ROUND(F217/E217,1)))</f>
        <v>0.8</v>
      </c>
      <c r="H217" s="10" t="str">
        <f aca="false">IF(F217&lt;0,"Negative (check entry)",IF(OR(E217="",E217=0),IF(F217=0,"No Activity","OK"),IF(F217/E217&lt;0.5,"Low Stock",IF(F217/E217&gt;3,"Overstock","OK"))))</f>
        <v>OK</v>
      </c>
      <c r="I217" s="16"/>
    </row>
    <row r="218" customFormat="false" ht="15" hidden="false" customHeight="false" outlineLevel="0" collapsed="false">
      <c r="A218" s="15" t="s">
        <v>48</v>
      </c>
      <c r="B218" s="15" t="s">
        <v>195</v>
      </c>
      <c r="C218" s="15" t="s">
        <v>50</v>
      </c>
      <c r="D218" s="15" t="n">
        <v>0</v>
      </c>
      <c r="E218" s="15" t="n">
        <v>0</v>
      </c>
      <c r="F218" s="15" t="n">
        <v>0</v>
      </c>
      <c r="G218" s="10" t="str">
        <f aca="false">IF(OR(E218="",E218=0),"n/a",IF(F218&lt;0,"n/a",ROUND(F218/E218,1)))</f>
        <v>n/a</v>
      </c>
      <c r="H218" s="10" t="str">
        <f aca="false">IF(F218&lt;0,"Negative (check entry)",IF(OR(E218="",E218=0),IF(F218=0,"No Activity","OK"),IF(F218/E218&lt;0.5,"Low Stock",IF(F218/E218&gt;3,"Overstock","OK"))))</f>
        <v>No Activity</v>
      </c>
      <c r="I218" s="16"/>
    </row>
    <row r="219" customFormat="false" ht="15" hidden="false" customHeight="false" outlineLevel="0" collapsed="false">
      <c r="A219" s="15" t="s">
        <v>48</v>
      </c>
      <c r="B219" s="15" t="s">
        <v>195</v>
      </c>
      <c r="C219" s="15" t="s">
        <v>74</v>
      </c>
      <c r="D219" s="15" t="n">
        <v>0</v>
      </c>
      <c r="E219" s="15" t="n">
        <v>0</v>
      </c>
      <c r="F219" s="15" t="n">
        <v>0</v>
      </c>
      <c r="G219" s="10" t="str">
        <f aca="false">IF(OR(E219="",E219=0),"n/a",IF(F219&lt;0,"n/a",ROUND(F219/E219,1)))</f>
        <v>n/a</v>
      </c>
      <c r="H219" s="10" t="str">
        <f aca="false">IF(F219&lt;0,"Negative (check entry)",IF(OR(E219="",E219=0),IF(F219=0,"No Activity","OK"),IF(F219/E219&lt;0.5,"Low Stock",IF(F219/E219&gt;3,"Overstock","OK"))))</f>
        <v>No Activity</v>
      </c>
      <c r="I219" s="16"/>
    </row>
    <row r="220" customFormat="false" ht="15" hidden="false" customHeight="false" outlineLevel="0" collapsed="false">
      <c r="A220" s="15" t="s">
        <v>48</v>
      </c>
      <c r="B220" s="15" t="s">
        <v>195</v>
      </c>
      <c r="C220" s="15" t="s">
        <v>38</v>
      </c>
      <c r="D220" s="15" t="n">
        <v>0</v>
      </c>
      <c r="E220" s="15" t="n">
        <v>0</v>
      </c>
      <c r="F220" s="15" t="n">
        <v>0</v>
      </c>
      <c r="G220" s="10" t="str">
        <f aca="false">IF(OR(E220="",E220=0),"n/a",IF(F220&lt;0,"n/a",ROUND(F220/E220,1)))</f>
        <v>n/a</v>
      </c>
      <c r="H220" s="10" t="str">
        <f aca="false">IF(F220&lt;0,"Negative (check entry)",IF(OR(E220="",E220=0),IF(F220=0,"No Activity","OK"),IF(F220/E220&lt;0.5,"Low Stock",IF(F220/E220&gt;3,"Overstock","OK"))))</f>
        <v>No Activity</v>
      </c>
      <c r="I220" s="16"/>
    </row>
    <row r="221" customFormat="false" ht="15" hidden="false" customHeight="false" outlineLevel="0" collapsed="false">
      <c r="A221" s="15" t="s">
        <v>48</v>
      </c>
      <c r="B221" s="15" t="s">
        <v>195</v>
      </c>
      <c r="C221" s="15" t="s">
        <v>59</v>
      </c>
      <c r="D221" s="15" t="n">
        <v>0</v>
      </c>
      <c r="E221" s="15" t="n">
        <v>0</v>
      </c>
      <c r="F221" s="15" t="n">
        <v>0</v>
      </c>
      <c r="G221" s="10" t="str">
        <f aca="false">IF(OR(E221="",E221=0),"n/a",IF(F221&lt;0,"n/a",ROUND(F221/E221,1)))</f>
        <v>n/a</v>
      </c>
      <c r="H221" s="10" t="str">
        <f aca="false">IF(F221&lt;0,"Negative (check entry)",IF(OR(E221="",E221=0),IF(F221=0,"No Activity","OK"),IF(F221/E221&lt;0.5,"Low Stock",IF(F221/E221&gt;3,"Overstock","OK"))))</f>
        <v>No Activity</v>
      </c>
      <c r="I221" s="16"/>
    </row>
    <row r="222" customFormat="false" ht="15" hidden="false" customHeight="false" outlineLevel="0" collapsed="false">
      <c r="A222" s="15" t="s">
        <v>48</v>
      </c>
      <c r="B222" s="15" t="s">
        <v>195</v>
      </c>
      <c r="C222" s="15" t="s">
        <v>178</v>
      </c>
      <c r="D222" s="15" t="n">
        <v>0</v>
      </c>
      <c r="E222" s="15" t="n">
        <v>0</v>
      </c>
      <c r="F222" s="15" t="n">
        <v>0</v>
      </c>
      <c r="G222" s="10" t="str">
        <f aca="false">IF(OR(E222="",E222=0),"n/a",IF(F222&lt;0,"n/a",ROUND(F222/E222,1)))</f>
        <v>n/a</v>
      </c>
      <c r="H222" s="10" t="str">
        <f aca="false">IF(F222&lt;0,"Negative (check entry)",IF(OR(E222="",E222=0),IF(F222=0,"No Activity","OK"),IF(F222/E222&lt;0.5,"Low Stock",IF(F222/E222&gt;3,"Overstock","OK"))))</f>
        <v>No Activity</v>
      </c>
      <c r="I222" s="16"/>
    </row>
    <row r="223" customFormat="false" ht="15" hidden="false" customHeight="false" outlineLevel="0" collapsed="false">
      <c r="A223" s="15" t="s">
        <v>48</v>
      </c>
      <c r="B223" s="15" t="s">
        <v>195</v>
      </c>
      <c r="C223" s="15" t="s">
        <v>72</v>
      </c>
      <c r="D223" s="15" t="n">
        <v>140</v>
      </c>
      <c r="E223" s="15" t="n">
        <v>0</v>
      </c>
      <c r="F223" s="15" t="n">
        <v>140</v>
      </c>
      <c r="G223" s="10" t="str">
        <f aca="false">IF(OR(E223="",E223=0),"n/a",IF(F223&lt;0,"n/a",ROUND(F223/E223,1)))</f>
        <v>n/a</v>
      </c>
      <c r="H223" s="10" t="str">
        <f aca="false">IF(F223&lt;0,"Negative (check entry)",IF(OR(E223="",E223=0),IF(F223=0,"No Activity","OK"),IF(F223/E223&lt;0.5,"Low Stock",IF(F223/E223&gt;3,"Overstock","OK"))))</f>
        <v>OK</v>
      </c>
      <c r="I223" s="16"/>
    </row>
    <row r="224" customFormat="false" ht="15" hidden="false" customHeight="false" outlineLevel="0" collapsed="false">
      <c r="A224" s="15" t="s">
        <v>48</v>
      </c>
      <c r="B224" s="15" t="s">
        <v>195</v>
      </c>
      <c r="C224" s="15" t="s">
        <v>88</v>
      </c>
      <c r="D224" s="15" t="n">
        <v>0</v>
      </c>
      <c r="E224" s="15" t="n">
        <v>0</v>
      </c>
      <c r="F224" s="15" t="n">
        <v>360</v>
      </c>
      <c r="G224" s="10" t="str">
        <f aca="false">IF(OR(E224="",E224=0),"n/a",IF(F224&lt;0,"n/a",ROUND(F224/E224,1)))</f>
        <v>n/a</v>
      </c>
      <c r="H224" s="10" t="str">
        <f aca="false">IF(F224&lt;0,"Negative (check entry)",IF(OR(E224="",E224=0),IF(F224=0,"No Activity","OK"),IF(F224/E224&lt;0.5,"Low Stock",IF(F224/E224&gt;3,"Overstock","OK"))))</f>
        <v>OK</v>
      </c>
      <c r="I224" s="16"/>
    </row>
    <row r="225" customFormat="false" ht="15" hidden="false" customHeight="false" outlineLevel="0" collapsed="false">
      <c r="A225" s="15" t="s">
        <v>48</v>
      </c>
      <c r="B225" s="15" t="s">
        <v>195</v>
      </c>
      <c r="C225" s="15" t="s">
        <v>196</v>
      </c>
      <c r="D225" s="15" t="n">
        <v>0</v>
      </c>
      <c r="E225" s="15" t="n">
        <v>0</v>
      </c>
      <c r="F225" s="15" t="n">
        <v>0</v>
      </c>
      <c r="G225" s="10" t="str">
        <f aca="false">IF(OR(E225="",E225=0),"n/a",IF(F225&lt;0,"n/a",ROUND(F225/E225,1)))</f>
        <v>n/a</v>
      </c>
      <c r="H225" s="10" t="str">
        <f aca="false">IF(F225&lt;0,"Negative (check entry)",IF(OR(E225="",E225=0),IF(F225=0,"No Activity","OK"),IF(F225/E225&lt;0.5,"Low Stock",IF(F225/E225&gt;3,"Overstock","OK"))))</f>
        <v>No Activity</v>
      </c>
      <c r="I225" s="16"/>
    </row>
    <row r="226" customFormat="false" ht="15" hidden="false" customHeight="false" outlineLevel="0" collapsed="false">
      <c r="A226" s="15" t="s">
        <v>48</v>
      </c>
      <c r="B226" s="15" t="s">
        <v>69</v>
      </c>
      <c r="C226" s="15" t="s">
        <v>127</v>
      </c>
      <c r="D226" s="15" t="n">
        <v>140</v>
      </c>
      <c r="E226" s="15" t="n">
        <v>0</v>
      </c>
      <c r="F226" s="15" t="n">
        <v>140</v>
      </c>
      <c r="G226" s="10" t="str">
        <f aca="false">IF(OR(E226="",E226=0),"n/a",IF(F226&lt;0,"n/a",ROUND(F226/E226,1)))</f>
        <v>n/a</v>
      </c>
      <c r="H226" s="10" t="str">
        <f aca="false">IF(F226&lt;0,"Negative (check entry)",IF(OR(E226="",E226=0),IF(F226=0,"No Activity","OK"),IF(F226/E226&lt;0.5,"Low Stock",IF(F226/E226&gt;3,"Overstock","OK"))))</f>
        <v>OK</v>
      </c>
      <c r="I226" s="16"/>
    </row>
    <row r="227" customFormat="false" ht="15" hidden="false" customHeight="false" outlineLevel="0" collapsed="false">
      <c r="A227" s="15" t="s">
        <v>48</v>
      </c>
      <c r="B227" s="15" t="s">
        <v>69</v>
      </c>
      <c r="C227" s="15" t="s">
        <v>74</v>
      </c>
      <c r="D227" s="15" t="n">
        <v>0</v>
      </c>
      <c r="E227" s="15" t="n">
        <v>0</v>
      </c>
      <c r="F227" s="15" t="n">
        <v>0</v>
      </c>
      <c r="G227" s="10" t="str">
        <f aca="false">IF(OR(E227="",E227=0),"n/a",IF(F227&lt;0,"n/a",ROUND(F227/E227,1)))</f>
        <v>n/a</v>
      </c>
      <c r="H227" s="10" t="str">
        <f aca="false">IF(F227&lt;0,"Negative (check entry)",IF(OR(E227="",E227=0),IF(F227=0,"No Activity","OK"),IF(F227/E227&lt;0.5,"Low Stock",IF(F227/E227&gt;3,"Overstock","OK"))))</f>
        <v>No Activity</v>
      </c>
      <c r="I227" s="16"/>
    </row>
    <row r="228" customFormat="false" ht="15" hidden="false" customHeight="false" outlineLevel="0" collapsed="false">
      <c r="A228" s="15" t="s">
        <v>48</v>
      </c>
      <c r="B228" s="15" t="s">
        <v>69</v>
      </c>
      <c r="C228" s="15" t="s">
        <v>38</v>
      </c>
      <c r="D228" s="15" t="n">
        <v>200</v>
      </c>
      <c r="E228" s="15" t="n">
        <v>2680</v>
      </c>
      <c r="F228" s="15" t="n">
        <v>180</v>
      </c>
      <c r="G228" s="10" t="n">
        <f aca="false">IF(OR(E228="",E228=0),"n/a",IF(F228&lt;0,"n/a",ROUND(F228/E228,1)))</f>
        <v>0.1</v>
      </c>
      <c r="H228" s="10" t="str">
        <f aca="false">IF(F228&lt;0,"Negative (check entry)",IF(OR(E228="",E228=0),IF(F228=0,"No Activity","OK"),IF(F228/E228&lt;0.5,"Low Stock",IF(F228/E228&gt;3,"Overstock","OK"))))</f>
        <v>Low Stock</v>
      </c>
      <c r="I228" s="16"/>
    </row>
    <row r="229" customFormat="false" ht="15" hidden="false" customHeight="false" outlineLevel="0" collapsed="false">
      <c r="A229" s="15" t="s">
        <v>48</v>
      </c>
      <c r="B229" s="15" t="s">
        <v>69</v>
      </c>
      <c r="C229" s="15" t="s">
        <v>73</v>
      </c>
      <c r="D229" s="15" t="n">
        <v>340</v>
      </c>
      <c r="E229" s="15" t="n">
        <v>60</v>
      </c>
      <c r="F229" s="15" t="n">
        <v>280</v>
      </c>
      <c r="G229" s="10" t="n">
        <f aca="false">IF(OR(E229="",E229=0),"n/a",IF(F229&lt;0,"n/a",ROUND(F229/E229,1)))</f>
        <v>4.7</v>
      </c>
      <c r="H229" s="10" t="str">
        <f aca="false">IF(F229&lt;0,"Negative (check entry)",IF(OR(E229="",E229=0),IF(F229=0,"No Activity","OK"),IF(F229/E229&lt;0.5,"Low Stock",IF(F229/E229&gt;3,"Overstock","OK"))))</f>
        <v>Overstock</v>
      </c>
      <c r="I229" s="16"/>
    </row>
    <row r="230" customFormat="false" ht="15" hidden="false" customHeight="false" outlineLevel="0" collapsed="false">
      <c r="A230" s="15" t="s">
        <v>48</v>
      </c>
      <c r="B230" s="15" t="s">
        <v>69</v>
      </c>
      <c r="C230" s="15" t="s">
        <v>59</v>
      </c>
      <c r="D230" s="15" t="n">
        <v>600</v>
      </c>
      <c r="E230" s="15" t="n">
        <v>3520</v>
      </c>
      <c r="F230" s="15" t="n">
        <v>-20</v>
      </c>
      <c r="G230" s="10" t="str">
        <f aca="false">IF(OR(E230="",E230=0),"n/a",IF(F230&lt;0,"n/a",ROUND(F230/E230,1)))</f>
        <v>n/a</v>
      </c>
      <c r="H230" s="10" t="str">
        <f aca="false">IF(F230&lt;0,"Negative (check entry)",IF(OR(E230="",E230=0),IF(F230=0,"No Activity","OK"),IF(F230/E230&lt;0.5,"Low Stock",IF(F230/E230&gt;3,"Overstock","OK"))))</f>
        <v>Negative (check entry)</v>
      </c>
      <c r="I230" s="16"/>
    </row>
    <row r="231" customFormat="false" ht="15" hidden="false" customHeight="false" outlineLevel="0" collapsed="false">
      <c r="A231" s="15" t="s">
        <v>48</v>
      </c>
      <c r="B231" s="15" t="s">
        <v>69</v>
      </c>
      <c r="C231" s="15" t="s">
        <v>97</v>
      </c>
      <c r="D231" s="15" t="n">
        <v>0</v>
      </c>
      <c r="E231" s="15" t="n">
        <v>0</v>
      </c>
      <c r="F231" s="15" t="n">
        <v>0</v>
      </c>
      <c r="G231" s="10" t="str">
        <f aca="false">IF(OR(E231="",E231=0),"n/a",IF(F231&lt;0,"n/a",ROUND(F231/E231,1)))</f>
        <v>n/a</v>
      </c>
      <c r="H231" s="10" t="str">
        <f aca="false">IF(F231&lt;0,"Negative (check entry)",IF(OR(E231="",E231=0),IF(F231=0,"No Activity","OK"),IF(F231/E231&lt;0.5,"Low Stock",IF(F231/E231&gt;3,"Overstock","OK"))))</f>
        <v>No Activity</v>
      </c>
      <c r="I231" s="16"/>
    </row>
    <row r="232" customFormat="false" ht="15" hidden="false" customHeight="false" outlineLevel="0" collapsed="false">
      <c r="A232" s="15" t="s">
        <v>48</v>
      </c>
      <c r="B232" s="15" t="s">
        <v>69</v>
      </c>
      <c r="C232" s="15" t="s">
        <v>52</v>
      </c>
      <c r="D232" s="15" t="n">
        <v>0</v>
      </c>
      <c r="E232" s="15" t="n">
        <v>0</v>
      </c>
      <c r="F232" s="15" t="n">
        <v>0</v>
      </c>
      <c r="G232" s="10" t="str">
        <f aca="false">IF(OR(E232="",E232=0),"n/a",IF(F232&lt;0,"n/a",ROUND(F232/E232,1)))</f>
        <v>n/a</v>
      </c>
      <c r="H232" s="10" t="str">
        <f aca="false">IF(F232&lt;0,"Negative (check entry)",IF(OR(E232="",E232=0),IF(F232=0,"No Activity","OK"),IF(F232/E232&lt;0.5,"Low Stock",IF(F232/E232&gt;3,"Overstock","OK"))))</f>
        <v>No Activity</v>
      </c>
      <c r="I232" s="16"/>
    </row>
    <row r="233" customFormat="false" ht="15" hidden="false" customHeight="false" outlineLevel="0" collapsed="false">
      <c r="A233" s="15" t="s">
        <v>48</v>
      </c>
      <c r="B233" s="15" t="s">
        <v>69</v>
      </c>
      <c r="C233" s="15" t="s">
        <v>197</v>
      </c>
      <c r="D233" s="15" t="n">
        <v>760</v>
      </c>
      <c r="E233" s="15" t="n">
        <v>100</v>
      </c>
      <c r="F233" s="15" t="n">
        <v>660</v>
      </c>
      <c r="G233" s="10" t="n">
        <f aca="false">IF(OR(E233="",E233=0),"n/a",IF(F233&lt;0,"n/a",ROUND(F233/E233,1)))</f>
        <v>6.6</v>
      </c>
      <c r="H233" s="10" t="str">
        <f aca="false">IF(F233&lt;0,"Negative (check entry)",IF(OR(E233="",E233=0),IF(F233=0,"No Activity","OK"),IF(F233/E233&lt;0.5,"Low Stock",IF(F233/E233&gt;3,"Overstock","OK"))))</f>
        <v>Overstock</v>
      </c>
      <c r="I233" s="16"/>
    </row>
    <row r="234" customFormat="false" ht="15" hidden="false" customHeight="false" outlineLevel="0" collapsed="false">
      <c r="A234" s="15" t="s">
        <v>48</v>
      </c>
      <c r="B234" s="15" t="s">
        <v>49</v>
      </c>
      <c r="C234" s="15" t="s">
        <v>50</v>
      </c>
      <c r="D234" s="15" t="n">
        <v>2220</v>
      </c>
      <c r="E234" s="15" t="n">
        <v>2500</v>
      </c>
      <c r="F234" s="15" t="n">
        <v>-280</v>
      </c>
      <c r="G234" s="10" t="str">
        <f aca="false">IF(OR(E234="",E234=0),"n/a",IF(F234&lt;0,"n/a",ROUND(F234/E234,1)))</f>
        <v>n/a</v>
      </c>
      <c r="H234" s="10" t="str">
        <f aca="false">IF(F234&lt;0,"Negative (check entry)",IF(OR(E234="",E234=0),IF(F234=0,"No Activity","OK"),IF(F234/E234&lt;0.5,"Low Stock",IF(F234/E234&gt;3,"Overstock","OK"))))</f>
        <v>Negative (check entry)</v>
      </c>
      <c r="I234" s="16"/>
    </row>
    <row r="235" customFormat="false" ht="15" hidden="false" customHeight="false" outlineLevel="0" collapsed="false">
      <c r="A235" s="15" t="s">
        <v>48</v>
      </c>
      <c r="B235" s="15" t="s">
        <v>49</v>
      </c>
      <c r="C235" s="15" t="s">
        <v>60</v>
      </c>
      <c r="D235" s="15" t="n">
        <v>1200</v>
      </c>
      <c r="E235" s="15" t="n">
        <v>0</v>
      </c>
      <c r="F235" s="15" t="n">
        <v>1200</v>
      </c>
      <c r="G235" s="10" t="str">
        <f aca="false">IF(OR(E235="",E235=0),"n/a",IF(F235&lt;0,"n/a",ROUND(F235/E235,1)))</f>
        <v>n/a</v>
      </c>
      <c r="H235" s="10" t="str">
        <f aca="false">IF(F235&lt;0,"Negative (check entry)",IF(OR(E235="",E235=0),IF(F235=0,"No Activity","OK"),IF(F235/E235&lt;0.5,"Low Stock",IF(F235/E235&gt;3,"Overstock","OK"))))</f>
        <v>OK</v>
      </c>
      <c r="I235" s="16"/>
    </row>
    <row r="236" customFormat="false" ht="15" hidden="false" customHeight="false" outlineLevel="0" collapsed="false">
      <c r="A236" s="15" t="s">
        <v>48</v>
      </c>
      <c r="B236" s="15" t="s">
        <v>49</v>
      </c>
      <c r="C236" s="15" t="s">
        <v>88</v>
      </c>
      <c r="D236" s="15" t="n">
        <v>1700</v>
      </c>
      <c r="E236" s="15" t="n">
        <v>1560</v>
      </c>
      <c r="F236" s="15" t="n">
        <v>800</v>
      </c>
      <c r="G236" s="10" t="n">
        <f aca="false">IF(OR(E236="",E236=0),"n/a",IF(F236&lt;0,"n/a",ROUND(F236/E236,1)))</f>
        <v>0.5</v>
      </c>
      <c r="H236" s="10" t="str">
        <f aca="false">IF(F236&lt;0,"Negative (check entry)",IF(OR(E236="",E236=0),IF(F236=0,"No Activity","OK"),IF(F236/E236&lt;0.5,"Low Stock",IF(F236/E236&gt;3,"Overstock","OK"))))</f>
        <v>OK</v>
      </c>
      <c r="I236" s="16"/>
    </row>
    <row r="237" customFormat="false" ht="15" hidden="false" customHeight="false" outlineLevel="0" collapsed="false">
      <c r="A237" s="15" t="s">
        <v>48</v>
      </c>
      <c r="B237" s="15" t="s">
        <v>49</v>
      </c>
      <c r="C237" s="15" t="s">
        <v>140</v>
      </c>
      <c r="D237" s="15" t="n">
        <v>0</v>
      </c>
      <c r="E237" s="15" t="n">
        <v>0</v>
      </c>
      <c r="F237" s="15" t="n">
        <v>0</v>
      </c>
      <c r="G237" s="10" t="str">
        <f aca="false">IF(OR(E237="",E237=0),"n/a",IF(F237&lt;0,"n/a",ROUND(F237/E237,1)))</f>
        <v>n/a</v>
      </c>
      <c r="H237" s="10" t="str">
        <f aca="false">IF(F237&lt;0,"Negative (check entry)",IF(OR(E237="",E237=0),IF(F237=0,"No Activity","OK"),IF(F237/E237&lt;0.5,"Low Stock",IF(F237/E237&gt;3,"Overstock","OK"))))</f>
        <v>No Activity</v>
      </c>
      <c r="I237" s="16"/>
    </row>
    <row r="238" customFormat="false" ht="15" hidden="false" customHeight="false" outlineLevel="0" collapsed="false">
      <c r="A238" s="15" t="s">
        <v>48</v>
      </c>
      <c r="B238" s="15" t="s">
        <v>49</v>
      </c>
      <c r="C238" s="15" t="s">
        <v>178</v>
      </c>
      <c r="D238" s="15" t="n">
        <v>1620</v>
      </c>
      <c r="E238" s="15" t="n">
        <v>1620</v>
      </c>
      <c r="F238" s="15" t="n">
        <v>1300</v>
      </c>
      <c r="G238" s="10" t="n">
        <f aca="false">IF(OR(E238="",E238=0),"n/a",IF(F238&lt;0,"n/a",ROUND(F238/E238,1)))</f>
        <v>0.8</v>
      </c>
      <c r="H238" s="10" t="str">
        <f aca="false">IF(F238&lt;0,"Negative (check entry)",IF(OR(E238="",E238=0),IF(F238=0,"No Activity","OK"),IF(F238/E238&lt;0.5,"Low Stock",IF(F238/E238&gt;3,"Overstock","OK"))))</f>
        <v>OK</v>
      </c>
      <c r="I238" s="16"/>
    </row>
    <row r="239" customFormat="false" ht="15" hidden="false" customHeight="false" outlineLevel="0" collapsed="false">
      <c r="A239" s="15" t="s">
        <v>48</v>
      </c>
      <c r="B239" s="15" t="s">
        <v>49</v>
      </c>
      <c r="C239" s="15" t="s">
        <v>86</v>
      </c>
      <c r="D239" s="15" t="n">
        <v>20</v>
      </c>
      <c r="E239" s="15" t="n">
        <v>20</v>
      </c>
      <c r="F239" s="15" t="n">
        <v>0</v>
      </c>
      <c r="G239" s="10" t="n">
        <f aca="false">IF(OR(E239="",E239=0),"n/a",IF(F239&lt;0,"n/a",ROUND(F239/E239,1)))</f>
        <v>0</v>
      </c>
      <c r="H239" s="10" t="str">
        <f aca="false">IF(F239&lt;0,"Negative (check entry)",IF(OR(E239="",E239=0),IF(F239=0,"No Activity","OK"),IF(F239/E239&lt;0.5,"Low Stock",IF(F239/E239&gt;3,"Overstock","OK"))))</f>
        <v>Low Stock</v>
      </c>
      <c r="I239" s="16"/>
    </row>
    <row r="240" customFormat="false" ht="15" hidden="false" customHeight="false" outlineLevel="0" collapsed="false">
      <c r="A240" s="15" t="s">
        <v>48</v>
      </c>
      <c r="B240" s="15" t="s">
        <v>49</v>
      </c>
      <c r="C240" s="15" t="s">
        <v>120</v>
      </c>
      <c r="D240" s="15" t="n">
        <v>0</v>
      </c>
      <c r="E240" s="15" t="n">
        <v>0</v>
      </c>
      <c r="F240" s="15" t="n">
        <v>0</v>
      </c>
      <c r="G240" s="10" t="str">
        <f aca="false">IF(OR(E240="",E240=0),"n/a",IF(F240&lt;0,"n/a",ROUND(F240/E240,1)))</f>
        <v>n/a</v>
      </c>
      <c r="H240" s="10" t="str">
        <f aca="false">IF(F240&lt;0,"Negative (check entry)",IF(OR(E240="",E240=0),IF(F240=0,"No Activity","OK"),IF(F240/E240&lt;0.5,"Low Stock",IF(F240/E240&gt;3,"Overstock","OK"))))</f>
        <v>No Activity</v>
      </c>
      <c r="I240" s="16"/>
    </row>
    <row r="241" customFormat="false" ht="15" hidden="false" customHeight="false" outlineLevel="0" collapsed="false">
      <c r="A241" s="15" t="s">
        <v>48</v>
      </c>
      <c r="B241" s="15" t="s">
        <v>49</v>
      </c>
      <c r="C241" s="15" t="s">
        <v>175</v>
      </c>
      <c r="D241" s="15" t="n">
        <v>0</v>
      </c>
      <c r="E241" s="15" t="n">
        <v>0</v>
      </c>
      <c r="F241" s="15" t="n">
        <v>0</v>
      </c>
      <c r="G241" s="10" t="str">
        <f aca="false">IF(OR(E241="",E241=0),"n/a",IF(F241&lt;0,"n/a",ROUND(F241/E241,1)))</f>
        <v>n/a</v>
      </c>
      <c r="H241" s="10" t="str">
        <f aca="false">IF(F241&lt;0,"Negative (check entry)",IF(OR(E241="",E241=0),IF(F241=0,"No Activity","OK"),IF(F241/E241&lt;0.5,"Low Stock",IF(F241/E241&gt;3,"Overstock","OK"))))</f>
        <v>No Activity</v>
      </c>
      <c r="I241" s="16"/>
    </row>
    <row r="242" customFormat="false" ht="15" hidden="false" customHeight="false" outlineLevel="0" collapsed="false">
      <c r="A242" s="15" t="s">
        <v>48</v>
      </c>
      <c r="B242" s="15" t="s">
        <v>49</v>
      </c>
      <c r="C242" s="15" t="s">
        <v>101</v>
      </c>
      <c r="D242" s="15" t="n">
        <v>8940</v>
      </c>
      <c r="E242" s="15" t="n">
        <v>12060</v>
      </c>
      <c r="F242" s="15" t="n">
        <v>4760</v>
      </c>
      <c r="G242" s="10" t="n">
        <f aca="false">IF(OR(E242="",E242=0),"n/a",IF(F242&lt;0,"n/a",ROUND(F242/E242,1)))</f>
        <v>0.4</v>
      </c>
      <c r="H242" s="10" t="str">
        <f aca="false">IF(F242&lt;0,"Negative (check entry)",IF(OR(E242="",E242=0),IF(F242=0,"No Activity","OK"),IF(F242/E242&lt;0.5,"Low Stock",IF(F242/E242&gt;3,"Overstock","OK"))))</f>
        <v>Low Stock</v>
      </c>
      <c r="I242" s="16"/>
    </row>
    <row r="243" customFormat="false" ht="15" hidden="false" customHeight="false" outlineLevel="0" collapsed="false">
      <c r="A243" s="15" t="s">
        <v>48</v>
      </c>
      <c r="B243" s="15" t="s">
        <v>49</v>
      </c>
      <c r="C243" s="15" t="s">
        <v>47</v>
      </c>
      <c r="D243" s="15" t="n">
        <v>0</v>
      </c>
      <c r="E243" s="15" t="n">
        <v>0</v>
      </c>
      <c r="F243" s="15" t="n">
        <v>50</v>
      </c>
      <c r="G243" s="10" t="str">
        <f aca="false">IF(OR(E243="",E243=0),"n/a",IF(F243&lt;0,"n/a",ROUND(F243/E243,1)))</f>
        <v>n/a</v>
      </c>
      <c r="H243" s="10" t="str">
        <f aca="false">IF(F243&lt;0,"Negative (check entry)",IF(OR(E243="",E243=0),IF(F243=0,"No Activity","OK"),IF(F243/E243&lt;0.5,"Low Stock",IF(F243/E243&gt;3,"Overstock","OK"))))</f>
        <v>OK</v>
      </c>
      <c r="I243" s="16"/>
    </row>
    <row r="244" customFormat="false" ht="15" hidden="false" customHeight="false" outlineLevel="0" collapsed="false">
      <c r="A244" s="15" t="s">
        <v>48</v>
      </c>
      <c r="B244" s="15" t="s">
        <v>49</v>
      </c>
      <c r="C244" s="15" t="s">
        <v>102</v>
      </c>
      <c r="D244" s="15" t="n">
        <v>8940</v>
      </c>
      <c r="E244" s="15" t="n">
        <v>12060</v>
      </c>
      <c r="F244" s="15" t="n">
        <v>4810</v>
      </c>
      <c r="G244" s="10" t="n">
        <f aca="false">IF(OR(E244="",E244=0),"n/a",IF(F244&lt;0,"n/a",ROUND(F244/E244,1)))</f>
        <v>0.4</v>
      </c>
      <c r="H244" s="10" t="str">
        <f aca="false">IF(F244&lt;0,"Negative (check entry)",IF(OR(E244="",E244=0),IF(F244=0,"No Activity","OK"),IF(F244/E244&lt;0.5,"Low Stock",IF(F244/E244&gt;3,"Overstock","OK"))))</f>
        <v>Low Stock</v>
      </c>
      <c r="I244" s="16"/>
    </row>
    <row r="245" customFormat="false" ht="15" hidden="false" customHeight="false" outlineLevel="0" collapsed="false">
      <c r="A245" s="15" t="s">
        <v>48</v>
      </c>
      <c r="B245" s="15" t="s">
        <v>49</v>
      </c>
      <c r="C245" s="15" t="s">
        <v>172</v>
      </c>
      <c r="D245" s="15" t="n">
        <v>0</v>
      </c>
      <c r="E245" s="15" t="n">
        <v>0</v>
      </c>
      <c r="F245" s="15" t="n">
        <v>12.2</v>
      </c>
      <c r="G245" s="10" t="str">
        <f aca="false">IF(OR(E245="",E245=0),"n/a",IF(F245&lt;0,"n/a",ROUND(F245/E245,1)))</f>
        <v>n/a</v>
      </c>
      <c r="H245" s="10" t="str">
        <f aca="false">IF(F245&lt;0,"Negative (check entry)",IF(OR(E245="",E245=0),IF(F245=0,"No Activity","OK"),IF(F245/E245&lt;0.5,"Low Stock",IF(F245/E245&gt;3,"Overstock","OK"))))</f>
        <v>OK</v>
      </c>
      <c r="I245" s="16"/>
    </row>
    <row r="246" customFormat="false" ht="15" hidden="false" customHeight="false" outlineLevel="0" collapsed="false">
      <c r="A246" s="15" t="s">
        <v>48</v>
      </c>
      <c r="B246" s="15" t="s">
        <v>49</v>
      </c>
      <c r="C246" s="15" t="s">
        <v>104</v>
      </c>
      <c r="D246" s="15" t="n">
        <v>8940</v>
      </c>
      <c r="E246" s="15" t="n">
        <v>603</v>
      </c>
      <c r="F246" s="15" t="n">
        <v>252.7</v>
      </c>
      <c r="G246" s="10" t="n">
        <f aca="false">IF(OR(E246="",E246=0),"n/a",IF(F246&lt;0,"n/a",ROUND(F246/E246,1)))</f>
        <v>0.4</v>
      </c>
      <c r="H246" s="10" t="str">
        <f aca="false">IF(F246&lt;0,"Negative (check entry)",IF(OR(E246="",E246=0),IF(F246=0,"No Activity","OK"),IF(F246/E246&lt;0.5,"Low Stock",IF(F246/E246&gt;3,"Overstock","OK"))))</f>
        <v>Low Stock</v>
      </c>
      <c r="I246" s="16"/>
    </row>
    <row r="247" customFormat="false" ht="15" hidden="false" customHeight="false" outlineLevel="0" collapsed="false">
      <c r="A247" s="15" t="s">
        <v>65</v>
      </c>
      <c r="B247" s="15" t="s">
        <v>66</v>
      </c>
      <c r="C247" s="15" t="s">
        <v>56</v>
      </c>
      <c r="D247" s="15" t="n">
        <v>0</v>
      </c>
      <c r="E247" s="15" t="n">
        <v>32</v>
      </c>
      <c r="F247" s="15" t="n">
        <v>-32</v>
      </c>
      <c r="G247" s="10" t="str">
        <f aca="false">IF(OR(E247="",E247=0),"n/a",IF(F247&lt;0,"n/a",ROUND(F247/E247,1)))</f>
        <v>n/a</v>
      </c>
      <c r="H247" s="10" t="str">
        <f aca="false">IF(F247&lt;0,"Negative (check entry)",IF(OR(E247="",E247=0),IF(F247=0,"No Activity","OK"),IF(F247/E247&lt;0.5,"Low Stock",IF(F247/E247&gt;3,"Overstock","OK"))))</f>
        <v>Negative (check entry)</v>
      </c>
      <c r="I247" s="16"/>
    </row>
    <row r="248" customFormat="false" ht="15" hidden="false" customHeight="false" outlineLevel="0" collapsed="false">
      <c r="A248" s="15" t="s">
        <v>65</v>
      </c>
      <c r="B248" s="15" t="s">
        <v>66</v>
      </c>
      <c r="C248" s="15" t="s">
        <v>198</v>
      </c>
      <c r="D248" s="15" t="n">
        <v>288</v>
      </c>
      <c r="E248" s="15" t="n">
        <v>32</v>
      </c>
      <c r="F248" s="15" t="n">
        <v>256</v>
      </c>
      <c r="G248" s="10" t="n">
        <f aca="false">IF(OR(E248="",E248=0),"n/a",IF(F248&lt;0,"n/a",ROUND(F248/E248,1)))</f>
        <v>8</v>
      </c>
      <c r="H248" s="10" t="str">
        <f aca="false">IF(F248&lt;0,"Negative (check entry)",IF(OR(E248="",E248=0),IF(F248=0,"No Activity","OK"),IF(F248/E248&lt;0.5,"Low Stock",IF(F248/E248&gt;3,"Overstock","OK"))))</f>
        <v>Overstock</v>
      </c>
      <c r="I248" s="16"/>
    </row>
    <row r="249" customFormat="false" ht="15" hidden="false" customHeight="false" outlineLevel="0" collapsed="false">
      <c r="A249" s="15" t="s">
        <v>65</v>
      </c>
      <c r="B249" s="15" t="s">
        <v>66</v>
      </c>
      <c r="C249" s="15" t="s">
        <v>199</v>
      </c>
      <c r="D249" s="15" t="n">
        <v>0</v>
      </c>
      <c r="E249" s="15" t="n">
        <v>0</v>
      </c>
      <c r="F249" s="15" t="n">
        <v>0</v>
      </c>
      <c r="G249" s="10" t="str">
        <f aca="false">IF(OR(E249="",E249=0),"n/a",IF(F249&lt;0,"n/a",ROUND(F249/E249,1)))</f>
        <v>n/a</v>
      </c>
      <c r="H249" s="10" t="str">
        <f aca="false">IF(F249&lt;0,"Negative (check entry)",IF(OR(E249="",E249=0),IF(F249=0,"No Activity","OK"),IF(F249/E249&lt;0.5,"Low Stock",IF(F249/E249&gt;3,"Overstock","OK"))))</f>
        <v>No Activity</v>
      </c>
      <c r="I249" s="16"/>
    </row>
    <row r="250" customFormat="false" ht="15" hidden="false" customHeight="false" outlineLevel="0" collapsed="false">
      <c r="A250" s="15" t="s">
        <v>65</v>
      </c>
      <c r="B250" s="15" t="s">
        <v>66</v>
      </c>
      <c r="C250" s="15" t="s">
        <v>52</v>
      </c>
      <c r="D250" s="15" t="n">
        <v>0</v>
      </c>
      <c r="E250" s="15" t="n">
        <v>0</v>
      </c>
      <c r="F250" s="15" t="n">
        <v>0</v>
      </c>
      <c r="G250" s="10" t="str">
        <f aca="false">IF(OR(E250="",E250=0),"n/a",IF(F250&lt;0,"n/a",ROUND(F250/E250,1)))</f>
        <v>n/a</v>
      </c>
      <c r="H250" s="10" t="str">
        <f aca="false">IF(F250&lt;0,"Negative (check entry)",IF(OR(E250="",E250=0),IF(F250=0,"No Activity","OK"),IF(F250/E250&lt;0.5,"Low Stock",IF(F250/E250&gt;3,"Overstock","OK"))))</f>
        <v>No Activity</v>
      </c>
      <c r="I250" s="16"/>
    </row>
    <row r="251" customFormat="false" ht="15" hidden="false" customHeight="false" outlineLevel="0" collapsed="false">
      <c r="A251" s="15" t="s">
        <v>65</v>
      </c>
      <c r="B251" s="15" t="s">
        <v>66</v>
      </c>
      <c r="C251" s="15" t="s">
        <v>74</v>
      </c>
      <c r="D251" s="15" t="n">
        <v>0</v>
      </c>
      <c r="E251" s="15" t="n">
        <v>16</v>
      </c>
      <c r="F251" s="15" t="n">
        <v>-16</v>
      </c>
      <c r="G251" s="10" t="str">
        <f aca="false">IF(OR(E251="",E251=0),"n/a",IF(F251&lt;0,"n/a",ROUND(F251/E251,1)))</f>
        <v>n/a</v>
      </c>
      <c r="H251" s="10" t="str">
        <f aca="false">IF(F251&lt;0,"Negative (check entry)",IF(OR(E251="",E251=0),IF(F251=0,"No Activity","OK"),IF(F251/E251&lt;0.5,"Low Stock",IF(F251/E251&gt;3,"Overstock","OK"))))</f>
        <v>Negative (check entry)</v>
      </c>
      <c r="I251" s="16"/>
    </row>
    <row r="252" customFormat="false" ht="15" hidden="false" customHeight="false" outlineLevel="0" collapsed="false">
      <c r="A252" s="15" t="s">
        <v>65</v>
      </c>
      <c r="B252" s="15" t="s">
        <v>66</v>
      </c>
      <c r="C252" s="15" t="s">
        <v>200</v>
      </c>
      <c r="D252" s="15" t="n">
        <v>336</v>
      </c>
      <c r="E252" s="15" t="n">
        <v>16</v>
      </c>
      <c r="F252" s="15" t="n">
        <v>320</v>
      </c>
      <c r="G252" s="10" t="n">
        <f aca="false">IF(OR(E252="",E252=0),"n/a",IF(F252&lt;0,"n/a",ROUND(F252/E252,1)))</f>
        <v>20</v>
      </c>
      <c r="H252" s="10" t="str">
        <f aca="false">IF(F252&lt;0,"Negative (check entry)",IF(OR(E252="",E252=0),IF(F252=0,"No Activity","OK"),IF(F252/E252&lt;0.5,"Low Stock",IF(F252/E252&gt;3,"Overstock","OK"))))</f>
        <v>Overstock</v>
      </c>
      <c r="I252" s="16"/>
    </row>
    <row r="253" customFormat="false" ht="15" hidden="false" customHeight="false" outlineLevel="0" collapsed="false">
      <c r="A253" s="15" t="s">
        <v>65</v>
      </c>
      <c r="B253" s="15" t="s">
        <v>66</v>
      </c>
      <c r="C253" s="15" t="s">
        <v>194</v>
      </c>
      <c r="D253" s="15" t="n">
        <v>0</v>
      </c>
      <c r="E253" s="15" t="n">
        <v>0</v>
      </c>
      <c r="F253" s="15" t="n">
        <v>0</v>
      </c>
      <c r="G253" s="10" t="str">
        <f aca="false">IF(OR(E253="",E253=0),"n/a",IF(F253&lt;0,"n/a",ROUND(F253/E253,1)))</f>
        <v>n/a</v>
      </c>
      <c r="H253" s="10" t="str">
        <f aca="false">IF(F253&lt;0,"Negative (check entry)",IF(OR(E253="",E253=0),IF(F253=0,"No Activity","OK"),IF(F253/E253&lt;0.5,"Low Stock",IF(F253/E253&gt;3,"Overstock","OK"))))</f>
        <v>No Activity</v>
      </c>
      <c r="I253" s="16"/>
    </row>
    <row r="254" customFormat="false" ht="15" hidden="false" customHeight="false" outlineLevel="0" collapsed="false">
      <c r="A254" s="15" t="s">
        <v>65</v>
      </c>
      <c r="B254" s="15" t="s">
        <v>66</v>
      </c>
      <c r="C254" s="15" t="s">
        <v>201</v>
      </c>
      <c r="D254" s="15" t="n">
        <v>0</v>
      </c>
      <c r="E254" s="15" t="n">
        <v>0</v>
      </c>
      <c r="F254" s="15" t="n">
        <v>0</v>
      </c>
      <c r="G254" s="10" t="str">
        <f aca="false">IF(OR(E254="",E254=0),"n/a",IF(F254&lt;0,"n/a",ROUND(F254/E254,1)))</f>
        <v>n/a</v>
      </c>
      <c r="H254" s="10" t="str">
        <f aca="false">IF(F254&lt;0,"Negative (check entry)",IF(OR(E254="",E254=0),IF(F254=0,"No Activity","OK"),IF(F254/E254&lt;0.5,"Low Stock",IF(F254/E254&gt;3,"Overstock","OK"))))</f>
        <v>No Activity</v>
      </c>
      <c r="I254" s="16"/>
    </row>
    <row r="255" customFormat="false" ht="15" hidden="false" customHeight="false" outlineLevel="0" collapsed="false">
      <c r="A255" s="15" t="s">
        <v>65</v>
      </c>
      <c r="B255" s="15" t="s">
        <v>87</v>
      </c>
      <c r="C255" s="15" t="s">
        <v>38</v>
      </c>
      <c r="D255" s="15" t="n">
        <v>16</v>
      </c>
      <c r="E255" s="15" t="n">
        <v>16</v>
      </c>
      <c r="F255" s="15" t="n">
        <v>0</v>
      </c>
      <c r="G255" s="10" t="n">
        <f aca="false">IF(OR(E255="",E255=0),"n/a",IF(F255&lt;0,"n/a",ROUND(F255/E255,1)))</f>
        <v>0</v>
      </c>
      <c r="H255" s="10" t="str">
        <f aca="false">IF(F255&lt;0,"Negative (check entry)",IF(OR(E255="",E255=0),IF(F255=0,"No Activity","OK"),IF(F255/E255&lt;0.5,"Low Stock",IF(F255/E255&gt;3,"Overstock","OK"))))</f>
        <v>Low Stock</v>
      </c>
      <c r="I255" s="16"/>
    </row>
    <row r="256" customFormat="false" ht="15" hidden="false" customHeight="false" outlineLevel="0" collapsed="false">
      <c r="A256" s="15" t="s">
        <v>65</v>
      </c>
      <c r="B256" s="15" t="s">
        <v>87</v>
      </c>
      <c r="C256" s="15" t="s">
        <v>59</v>
      </c>
      <c r="D256" s="15" t="n">
        <v>176</v>
      </c>
      <c r="E256" s="15" t="n">
        <v>0</v>
      </c>
      <c r="F256" s="15" t="n">
        <v>176</v>
      </c>
      <c r="G256" s="10" t="str">
        <f aca="false">IF(OR(E256="",E256=0),"n/a",IF(F256&lt;0,"n/a",ROUND(F256/E256,1)))</f>
        <v>n/a</v>
      </c>
      <c r="H256" s="10" t="str">
        <f aca="false">IF(F256&lt;0,"Negative (check entry)",IF(OR(E256="",E256=0),IF(F256=0,"No Activity","OK"),IF(F256/E256&lt;0.5,"Low Stock",IF(F256/E256&gt;3,"Overstock","OK"))))</f>
        <v>OK</v>
      </c>
      <c r="I256" s="16"/>
    </row>
    <row r="257" customFormat="false" ht="15" hidden="false" customHeight="false" outlineLevel="0" collapsed="false">
      <c r="A257" s="15" t="s">
        <v>65</v>
      </c>
      <c r="B257" s="15" t="s">
        <v>87</v>
      </c>
      <c r="C257" s="15" t="s">
        <v>202</v>
      </c>
      <c r="D257" s="15" t="n">
        <v>192</v>
      </c>
      <c r="E257" s="15" t="n">
        <v>0</v>
      </c>
      <c r="F257" s="15" t="n">
        <v>192</v>
      </c>
      <c r="G257" s="10" t="str">
        <f aca="false">IF(OR(E257="",E257=0),"n/a",IF(F257&lt;0,"n/a",ROUND(F257/E257,1)))</f>
        <v>n/a</v>
      </c>
      <c r="H257" s="10" t="str">
        <f aca="false">IF(F257&lt;0,"Negative (check entry)",IF(OR(E257="",E257=0),IF(F257=0,"No Activity","OK"),IF(F257/E257&lt;0.5,"Low Stock",IF(F257/E257&gt;3,"Overstock","OK"))))</f>
        <v>OK</v>
      </c>
      <c r="I257" s="16"/>
    </row>
    <row r="258" customFormat="false" ht="15" hidden="false" customHeight="false" outlineLevel="0" collapsed="false">
      <c r="A258" s="15" t="s">
        <v>65</v>
      </c>
      <c r="B258" s="15" t="s">
        <v>87</v>
      </c>
      <c r="C258" s="15" t="s">
        <v>177</v>
      </c>
      <c r="D258" s="15" t="n">
        <v>560</v>
      </c>
      <c r="E258" s="15" t="n">
        <v>32</v>
      </c>
      <c r="F258" s="15" t="n">
        <v>528</v>
      </c>
      <c r="G258" s="10" t="n">
        <f aca="false">IF(OR(E258="",E258=0),"n/a",IF(F258&lt;0,"n/a",ROUND(F258/E258,1)))</f>
        <v>16.5</v>
      </c>
      <c r="H258" s="10" t="str">
        <f aca="false">IF(F258&lt;0,"Negative (check entry)",IF(OR(E258="",E258=0),IF(F258=0,"No Activity","OK"),IF(F258/E258&lt;0.5,"Low Stock",IF(F258/E258&gt;3,"Overstock","OK"))))</f>
        <v>Overstock</v>
      </c>
      <c r="I258" s="16"/>
    </row>
    <row r="259" customFormat="false" ht="15" hidden="false" customHeight="false" outlineLevel="0" collapsed="false">
      <c r="A259" s="15" t="s">
        <v>65</v>
      </c>
      <c r="B259" s="15" t="s">
        <v>87</v>
      </c>
      <c r="C259" s="15" t="s">
        <v>203</v>
      </c>
      <c r="D259" s="15" t="n">
        <v>0</v>
      </c>
      <c r="E259" s="15" t="n">
        <v>0</v>
      </c>
      <c r="F259" s="15" t="n">
        <v>0</v>
      </c>
      <c r="G259" s="10" t="str">
        <f aca="false">IF(OR(E259="",E259=0),"n/a",IF(F259&lt;0,"n/a",ROUND(F259/E259,1)))</f>
        <v>n/a</v>
      </c>
      <c r="H259" s="10" t="str">
        <f aca="false">IF(F259&lt;0,"Negative (check entry)",IF(OR(E259="",E259=0),IF(F259=0,"No Activity","OK"),IF(F259/E259&lt;0.5,"Low Stock",IF(F259/E259&gt;3,"Overstock","OK"))))</f>
        <v>No Activity</v>
      </c>
      <c r="I259" s="16"/>
    </row>
    <row r="260" customFormat="false" ht="15" hidden="false" customHeight="false" outlineLevel="0" collapsed="false">
      <c r="A260" s="15" t="s">
        <v>65</v>
      </c>
      <c r="B260" s="15" t="s">
        <v>87</v>
      </c>
      <c r="C260" s="15" t="s">
        <v>105</v>
      </c>
      <c r="D260" s="15" t="n">
        <v>944</v>
      </c>
      <c r="E260" s="15" t="n">
        <v>800</v>
      </c>
      <c r="F260" s="15" t="n">
        <v>144</v>
      </c>
      <c r="G260" s="10" t="n">
        <f aca="false">IF(OR(E260="",E260=0),"n/a",IF(F260&lt;0,"n/a",ROUND(F260/E260,1)))</f>
        <v>0.2</v>
      </c>
      <c r="H260" s="10" t="str">
        <f aca="false">IF(F260&lt;0,"Negative (check entry)",IF(OR(E260="",E260=0),IF(F260=0,"No Activity","OK"),IF(F260/E260&lt;0.5,"Low Stock",IF(F260/E260&gt;3,"Overstock","OK"))))</f>
        <v>Low Stock</v>
      </c>
      <c r="I260" s="16"/>
    </row>
    <row r="261" customFormat="false" ht="15" hidden="false" customHeight="false" outlineLevel="0" collapsed="false">
      <c r="A261" s="15" t="s">
        <v>65</v>
      </c>
      <c r="B261" s="15" t="s">
        <v>87</v>
      </c>
      <c r="C261" s="15" t="s">
        <v>98</v>
      </c>
      <c r="D261" s="15" t="n">
        <v>688</v>
      </c>
      <c r="E261" s="15" t="n">
        <v>272</v>
      </c>
      <c r="F261" s="15" t="n">
        <v>416</v>
      </c>
      <c r="G261" s="10" t="n">
        <f aca="false">IF(OR(E261="",E261=0),"n/a",IF(F261&lt;0,"n/a",ROUND(F261/E261,1)))</f>
        <v>1.5</v>
      </c>
      <c r="H261" s="10" t="str">
        <f aca="false">IF(F261&lt;0,"Negative (check entry)",IF(OR(E261="",E261=0),IF(F261=0,"No Activity","OK"),IF(F261/E261&lt;0.5,"Low Stock",IF(F261/E261&gt;3,"Overstock","OK"))))</f>
        <v>OK</v>
      </c>
      <c r="I261" s="16"/>
    </row>
    <row r="262" customFormat="false" ht="15" hidden="false" customHeight="false" outlineLevel="0" collapsed="false">
      <c r="A262" s="15" t="s">
        <v>65</v>
      </c>
      <c r="B262" s="15" t="s">
        <v>204</v>
      </c>
      <c r="C262" s="15" t="s">
        <v>38</v>
      </c>
      <c r="D262" s="15" t="n">
        <v>0</v>
      </c>
      <c r="E262" s="15" t="n">
        <v>0</v>
      </c>
      <c r="F262" s="15" t="n">
        <v>0</v>
      </c>
      <c r="G262" s="10" t="str">
        <f aca="false">IF(OR(E262="",E262=0),"n/a",IF(F262&lt;0,"n/a",ROUND(F262/E262,1)))</f>
        <v>n/a</v>
      </c>
      <c r="H262" s="10" t="str">
        <f aca="false">IF(F262&lt;0,"Negative (check entry)",IF(OR(E262="",E262=0),IF(F262=0,"No Activity","OK"),IF(F262/E262&lt;0.5,"Low Stock",IF(F262/E262&gt;3,"Overstock","OK"))))</f>
        <v>No Activity</v>
      </c>
      <c r="I262" s="16"/>
    </row>
    <row r="263" customFormat="false" ht="15" hidden="false" customHeight="false" outlineLevel="0" collapsed="false">
      <c r="A263" s="15" t="s">
        <v>65</v>
      </c>
      <c r="B263" s="15" t="s">
        <v>204</v>
      </c>
      <c r="C263" s="15" t="s">
        <v>59</v>
      </c>
      <c r="D263" s="15" t="n">
        <v>0</v>
      </c>
      <c r="E263" s="15" t="n">
        <v>0</v>
      </c>
      <c r="F263" s="15" t="n">
        <v>0</v>
      </c>
      <c r="G263" s="10" t="str">
        <f aca="false">IF(OR(E263="",E263=0),"n/a",IF(F263&lt;0,"n/a",ROUND(F263/E263,1)))</f>
        <v>n/a</v>
      </c>
      <c r="H263" s="10" t="str">
        <f aca="false">IF(F263&lt;0,"Negative (check entry)",IF(OR(E263="",E263=0),IF(F263=0,"No Activity","OK"),IF(F263/E263&lt;0.5,"Low Stock",IF(F263/E263&gt;3,"Overstock","OK"))))</f>
        <v>No Activity</v>
      </c>
      <c r="I263" s="16"/>
    </row>
    <row r="264" customFormat="false" ht="15" hidden="false" customHeight="false" outlineLevel="0" collapsed="false">
      <c r="A264" s="15" t="s">
        <v>65</v>
      </c>
      <c r="B264" s="15" t="s">
        <v>204</v>
      </c>
      <c r="C264" s="15" t="s">
        <v>101</v>
      </c>
      <c r="D264" s="15" t="n">
        <v>3200</v>
      </c>
      <c r="E264" s="15" t="n">
        <v>1216</v>
      </c>
      <c r="F264" s="15" t="n">
        <v>1984</v>
      </c>
      <c r="G264" s="10" t="n">
        <f aca="false">IF(OR(E264="",E264=0),"n/a",IF(F264&lt;0,"n/a",ROUND(F264/E264,1)))</f>
        <v>1.6</v>
      </c>
      <c r="H264" s="10" t="str">
        <f aca="false">IF(F264&lt;0,"Negative (check entry)",IF(OR(E264="",E264=0),IF(F264=0,"No Activity","OK"),IF(F264/E264&lt;0.5,"Low Stock",IF(F264/E264&gt;3,"Overstock","OK"))))</f>
        <v>OK</v>
      </c>
      <c r="I264" s="16"/>
    </row>
    <row r="265" customFormat="false" ht="15" hidden="false" customHeight="false" outlineLevel="0" collapsed="false">
      <c r="A265" s="15" t="s">
        <v>65</v>
      </c>
      <c r="B265" s="15" t="s">
        <v>204</v>
      </c>
      <c r="C265" s="15" t="s">
        <v>47</v>
      </c>
      <c r="D265" s="15" t="n">
        <v>0</v>
      </c>
      <c r="E265" s="15" t="n">
        <v>0</v>
      </c>
      <c r="F265" s="15" t="n">
        <v>0</v>
      </c>
      <c r="G265" s="10" t="str">
        <f aca="false">IF(OR(E265="",E265=0),"n/a",IF(F265&lt;0,"n/a",ROUND(F265/E265,1)))</f>
        <v>n/a</v>
      </c>
      <c r="H265" s="10" t="str">
        <f aca="false">IF(F265&lt;0,"Negative (check entry)",IF(OR(E265="",E265=0),IF(F265=0,"No Activity","OK"),IF(F265/E265&lt;0.5,"Low Stock",IF(F265/E265&gt;3,"Overstock","OK"))))</f>
        <v>No Activity</v>
      </c>
      <c r="I265" s="16"/>
    </row>
    <row r="266" customFormat="false" ht="15" hidden="false" customHeight="false" outlineLevel="0" collapsed="false">
      <c r="A266" s="15" t="s">
        <v>65</v>
      </c>
      <c r="B266" s="15" t="s">
        <v>204</v>
      </c>
      <c r="C266" s="15" t="s">
        <v>102</v>
      </c>
      <c r="D266" s="15" t="n">
        <v>3200</v>
      </c>
      <c r="E266" s="15" t="n">
        <v>1216</v>
      </c>
      <c r="F266" s="15" t="n">
        <v>1984</v>
      </c>
      <c r="G266" s="10" t="n">
        <f aca="false">IF(OR(E266="",E266=0),"n/a",IF(F266&lt;0,"n/a",ROUND(F266/E266,1)))</f>
        <v>1.6</v>
      </c>
      <c r="H266" s="10" t="str">
        <f aca="false">IF(F266&lt;0,"Negative (check entry)",IF(OR(E266="",E266=0),IF(F266=0,"No Activity","OK"),IF(F266/E266&lt;0.5,"Low Stock",IF(F266/E266&gt;3,"Overstock","OK"))))</f>
        <v>OK</v>
      </c>
      <c r="I266" s="16"/>
    </row>
    <row r="267" customFormat="false" ht="15" hidden="false" customHeight="false" outlineLevel="0" collapsed="false">
      <c r="A267" s="15" t="s">
        <v>65</v>
      </c>
      <c r="B267" s="15" t="s">
        <v>204</v>
      </c>
      <c r="C267" s="15" t="s">
        <v>172</v>
      </c>
      <c r="D267" s="15" t="n">
        <v>0</v>
      </c>
      <c r="E267" s="15" t="n">
        <v>0</v>
      </c>
      <c r="F267" s="15" t="n">
        <v>0</v>
      </c>
      <c r="G267" s="10" t="str">
        <f aca="false">IF(OR(E267="",E267=0),"n/a",IF(F267&lt;0,"n/a",ROUND(F267/E267,1)))</f>
        <v>n/a</v>
      </c>
      <c r="H267" s="10" t="str">
        <f aca="false">IF(F267&lt;0,"Negative (check entry)",IF(OR(E267="",E267=0),IF(F267=0,"No Activity","OK"),IF(F267/E267&lt;0.5,"Low Stock",IF(F267/E267&gt;3,"Overstock","OK"))))</f>
        <v>No Activity</v>
      </c>
      <c r="I267" s="16"/>
    </row>
    <row r="268" customFormat="false" ht="15" hidden="false" customHeight="false" outlineLevel="0" collapsed="false">
      <c r="A268" s="15" t="s">
        <v>65</v>
      </c>
      <c r="B268" s="15" t="s">
        <v>204</v>
      </c>
      <c r="C268" s="15" t="s">
        <v>104</v>
      </c>
      <c r="D268" s="15" t="n">
        <v>3200</v>
      </c>
      <c r="E268" s="15" t="n">
        <v>1216</v>
      </c>
      <c r="F268" s="15" t="n">
        <v>1984</v>
      </c>
      <c r="G268" s="10" t="n">
        <f aca="false">IF(OR(E268="",E268=0),"n/a",IF(F268&lt;0,"n/a",ROUND(F268/E268,1)))</f>
        <v>1.6</v>
      </c>
      <c r="H268" s="10" t="str">
        <f aca="false">IF(F268&lt;0,"Negative (check entry)",IF(OR(E268="",E268=0),IF(F268=0,"No Activity","OK"),IF(F268/E268&lt;0.5,"Low Stock",IF(F268/E268&gt;3,"Overstock","OK"))))</f>
        <v>OK</v>
      </c>
      <c r="I268" s="16"/>
    </row>
    <row r="269" customFormat="false" ht="15" hidden="false" customHeight="false" outlineLevel="0" collapsed="false">
      <c r="A269" s="15" t="s">
        <v>44</v>
      </c>
      <c r="B269" s="15" t="s">
        <v>51</v>
      </c>
      <c r="C269" s="15" t="s">
        <v>127</v>
      </c>
      <c r="D269" s="15" t="n">
        <v>0</v>
      </c>
      <c r="E269" s="15" t="n">
        <v>0</v>
      </c>
      <c r="F269" s="15" t="n">
        <v>0</v>
      </c>
      <c r="G269" s="10" t="str">
        <f aca="false">IF(OR(E269="",E269=0),"n/a",IF(F269&lt;0,"n/a",ROUND(F269/E269,1)))</f>
        <v>n/a</v>
      </c>
      <c r="H269" s="10" t="str">
        <f aca="false">IF(F269&lt;0,"Negative (check entry)",IF(OR(E269="",E269=0),IF(F269=0,"No Activity","OK"),IF(F269/E269&lt;0.5,"Low Stock",IF(F269/E269&gt;3,"Overstock","OK"))))</f>
        <v>No Activity</v>
      </c>
      <c r="I269" s="16"/>
    </row>
    <row r="270" customFormat="false" ht="15" hidden="false" customHeight="false" outlineLevel="0" collapsed="false">
      <c r="A270" s="15" t="s">
        <v>44</v>
      </c>
      <c r="B270" s="15" t="s">
        <v>51</v>
      </c>
      <c r="C270" s="15" t="s">
        <v>205</v>
      </c>
      <c r="D270" s="15" t="n">
        <v>0</v>
      </c>
      <c r="E270" s="15" t="n">
        <v>0</v>
      </c>
      <c r="F270" s="15" t="n">
        <v>0</v>
      </c>
      <c r="G270" s="10" t="str">
        <f aca="false">IF(OR(E270="",E270=0),"n/a",IF(F270&lt;0,"n/a",ROUND(F270/E270,1)))</f>
        <v>n/a</v>
      </c>
      <c r="H270" s="10" t="str">
        <f aca="false">IF(F270&lt;0,"Negative (check entry)",IF(OR(E270="",E270=0),IF(F270=0,"No Activity","OK"),IF(F270/E270&lt;0.5,"Low Stock",IF(F270/E270&gt;3,"Overstock","OK"))))</f>
        <v>No Activity</v>
      </c>
      <c r="I270" s="16"/>
    </row>
    <row r="271" customFormat="false" ht="15" hidden="false" customHeight="false" outlineLevel="0" collapsed="false">
      <c r="A271" s="15" t="s">
        <v>44</v>
      </c>
      <c r="B271" s="15" t="s">
        <v>51</v>
      </c>
      <c r="C271" s="15" t="s">
        <v>206</v>
      </c>
      <c r="D271" s="15" t="n">
        <v>0</v>
      </c>
      <c r="E271" s="15" t="n">
        <v>0</v>
      </c>
      <c r="F271" s="15" t="n">
        <v>0</v>
      </c>
      <c r="G271" s="10" t="str">
        <f aca="false">IF(OR(E271="",E271=0),"n/a",IF(F271&lt;0,"n/a",ROUND(F271/E271,1)))</f>
        <v>n/a</v>
      </c>
      <c r="H271" s="10" t="str">
        <f aca="false">IF(F271&lt;0,"Negative (check entry)",IF(OR(E271="",E271=0),IF(F271=0,"No Activity","OK"),IF(F271/E271&lt;0.5,"Low Stock",IF(F271/E271&gt;3,"Overstock","OK"))))</f>
        <v>No Activity</v>
      </c>
      <c r="I271" s="16"/>
    </row>
    <row r="272" customFormat="false" ht="15" hidden="false" customHeight="false" outlineLevel="0" collapsed="false">
      <c r="A272" s="15" t="s">
        <v>44</v>
      </c>
      <c r="B272" s="15" t="s">
        <v>51</v>
      </c>
      <c r="C272" s="15" t="s">
        <v>72</v>
      </c>
      <c r="D272" s="15" t="n">
        <v>0</v>
      </c>
      <c r="E272" s="15" t="n">
        <v>0</v>
      </c>
      <c r="F272" s="15" t="n">
        <v>0</v>
      </c>
      <c r="G272" s="10" t="str">
        <f aca="false">IF(OR(E272="",E272=0),"n/a",IF(F272&lt;0,"n/a",ROUND(F272/E272,1)))</f>
        <v>n/a</v>
      </c>
      <c r="H272" s="10" t="str">
        <f aca="false">IF(F272&lt;0,"Negative (check entry)",IF(OR(E272="",E272=0),IF(F272=0,"No Activity","OK"),IF(F272/E272&lt;0.5,"Low Stock",IF(F272/E272&gt;3,"Overstock","OK"))))</f>
        <v>No Activity</v>
      </c>
      <c r="I272" s="16"/>
    </row>
    <row r="273" customFormat="false" ht="15" hidden="false" customHeight="false" outlineLevel="0" collapsed="false">
      <c r="A273" s="15" t="s">
        <v>44</v>
      </c>
      <c r="B273" s="15" t="s">
        <v>51</v>
      </c>
      <c r="C273" s="15" t="s">
        <v>207</v>
      </c>
      <c r="D273" s="15" t="n">
        <v>20</v>
      </c>
      <c r="E273" s="15" t="n">
        <v>0</v>
      </c>
      <c r="F273" s="15" t="n">
        <v>20</v>
      </c>
      <c r="G273" s="10" t="str">
        <f aca="false">IF(OR(E273="",E273=0),"n/a",IF(F273&lt;0,"n/a",ROUND(F273/E273,1)))</f>
        <v>n/a</v>
      </c>
      <c r="H273" s="10" t="str">
        <f aca="false">IF(F273&lt;0,"Negative (check entry)",IF(OR(E273="",E273=0),IF(F273=0,"No Activity","OK"),IF(F273/E273&lt;0.5,"Low Stock",IF(F273/E273&gt;3,"Overstock","OK"))))</f>
        <v>OK</v>
      </c>
      <c r="I273" s="16"/>
    </row>
    <row r="274" customFormat="false" ht="15" hidden="false" customHeight="false" outlineLevel="0" collapsed="false">
      <c r="A274" s="15" t="s">
        <v>44</v>
      </c>
      <c r="B274" s="15" t="s">
        <v>51</v>
      </c>
      <c r="C274" s="15" t="s">
        <v>52</v>
      </c>
      <c r="D274" s="15" t="n">
        <v>0</v>
      </c>
      <c r="E274" s="15" t="n">
        <v>2240</v>
      </c>
      <c r="F274" s="15" t="n">
        <v>-220</v>
      </c>
      <c r="G274" s="10" t="str">
        <f aca="false">IF(OR(E274="",E274=0),"n/a",IF(F274&lt;0,"n/a",ROUND(F274/E274,1)))</f>
        <v>n/a</v>
      </c>
      <c r="H274" s="10" t="str">
        <f aca="false">IF(F274&lt;0,"Negative (check entry)",IF(OR(E274="",E274=0),IF(F274=0,"No Activity","OK"),IF(F274/E274&lt;0.5,"Low Stock",IF(F274/E274&gt;3,"Overstock","OK"))))</f>
        <v>Negative (check entry)</v>
      </c>
      <c r="I274" s="16"/>
    </row>
    <row r="275" customFormat="false" ht="15" hidden="false" customHeight="false" outlineLevel="0" collapsed="false">
      <c r="A275" s="15" t="s">
        <v>44</v>
      </c>
      <c r="B275" s="15" t="s">
        <v>51</v>
      </c>
      <c r="C275" s="15" t="s">
        <v>99</v>
      </c>
      <c r="D275" s="15" t="n">
        <v>3400</v>
      </c>
      <c r="E275" s="15" t="n">
        <v>6880</v>
      </c>
      <c r="F275" s="15" t="n">
        <v>820</v>
      </c>
      <c r="G275" s="10" t="n">
        <f aca="false">IF(OR(E275="",E275=0),"n/a",IF(F275&lt;0,"n/a",ROUND(F275/E275,1)))</f>
        <v>0.1</v>
      </c>
      <c r="H275" s="10" t="str">
        <f aca="false">IF(F275&lt;0,"Negative (check entry)",IF(OR(E275="",E275=0),IF(F275=0,"No Activity","OK"),IF(F275/E275&lt;0.5,"Low Stock",IF(F275/E275&gt;3,"Overstock","OK"))))</f>
        <v>Low Stock</v>
      </c>
      <c r="I275" s="16"/>
    </row>
    <row r="276" customFormat="false" ht="15" hidden="false" customHeight="false" outlineLevel="0" collapsed="false">
      <c r="A276" s="15" t="s">
        <v>44</v>
      </c>
      <c r="B276" s="15" t="s">
        <v>51</v>
      </c>
      <c r="C276" s="15" t="s">
        <v>96</v>
      </c>
      <c r="D276" s="15" t="n">
        <v>240</v>
      </c>
      <c r="E276" s="15" t="n">
        <v>160</v>
      </c>
      <c r="F276" s="15" t="n">
        <v>80</v>
      </c>
      <c r="G276" s="10" t="n">
        <f aca="false">IF(OR(E276="",E276=0),"n/a",IF(F276&lt;0,"n/a",ROUND(F276/E276,1)))</f>
        <v>0.5</v>
      </c>
      <c r="H276" s="10" t="str">
        <f aca="false">IF(F276&lt;0,"Negative (check entry)",IF(OR(E276="",E276=0),IF(F276=0,"No Activity","OK"),IF(F276/E276&lt;0.5,"Low Stock",IF(F276/E276&gt;3,"Overstock","OK"))))</f>
        <v>OK</v>
      </c>
      <c r="I276" s="16"/>
    </row>
    <row r="277" customFormat="false" ht="15" hidden="false" customHeight="false" outlineLevel="0" collapsed="false">
      <c r="A277" s="15" t="s">
        <v>44</v>
      </c>
      <c r="B277" s="15" t="s">
        <v>45</v>
      </c>
      <c r="C277" s="15" t="s">
        <v>79</v>
      </c>
      <c r="D277" s="15" t="n">
        <v>0</v>
      </c>
      <c r="E277" s="15" t="n">
        <v>0</v>
      </c>
      <c r="F277" s="15" t="n">
        <v>0</v>
      </c>
      <c r="G277" s="10" t="str">
        <f aca="false">IF(OR(E277="",E277=0),"n/a",IF(F277&lt;0,"n/a",ROUND(F277/E277,1)))</f>
        <v>n/a</v>
      </c>
      <c r="H277" s="10" t="str">
        <f aca="false">IF(F277&lt;0,"Negative (check entry)",IF(OR(E277="",E277=0),IF(F277=0,"No Activity","OK"),IF(F277/E277&lt;0.5,"Low Stock",IF(F277/E277&gt;3,"Overstock","OK"))))</f>
        <v>No Activity</v>
      </c>
      <c r="I277" s="16"/>
    </row>
    <row r="278" customFormat="false" ht="15" hidden="false" customHeight="false" outlineLevel="0" collapsed="false">
      <c r="A278" s="15" t="s">
        <v>44</v>
      </c>
      <c r="B278" s="15" t="s">
        <v>45</v>
      </c>
      <c r="C278" s="15" t="s">
        <v>38</v>
      </c>
      <c r="D278" s="15" t="n">
        <v>1300</v>
      </c>
      <c r="E278" s="15" t="n">
        <v>1800</v>
      </c>
      <c r="F278" s="15" t="n">
        <v>-500</v>
      </c>
      <c r="G278" s="10" t="str">
        <f aca="false">IF(OR(E278="",E278=0),"n/a",IF(F278&lt;0,"n/a",ROUND(F278/E278,1)))</f>
        <v>n/a</v>
      </c>
      <c r="H278" s="10" t="str">
        <f aca="false">IF(F278&lt;0,"Negative (check entry)",IF(OR(E278="",E278=0),IF(F278=0,"No Activity","OK"),IF(F278/E278&lt;0.5,"Low Stock",IF(F278/E278&gt;3,"Overstock","OK"))))</f>
        <v>Negative (check entry)</v>
      </c>
      <c r="I278" s="16"/>
    </row>
    <row r="279" customFormat="false" ht="15" hidden="false" customHeight="false" outlineLevel="0" collapsed="false">
      <c r="A279" s="15" t="s">
        <v>44</v>
      </c>
      <c r="B279" s="15" t="s">
        <v>45</v>
      </c>
      <c r="C279" s="15" t="s">
        <v>208</v>
      </c>
      <c r="D279" s="15" t="n">
        <v>0</v>
      </c>
      <c r="E279" s="15" t="n">
        <v>0</v>
      </c>
      <c r="F279" s="15" t="n">
        <v>0</v>
      </c>
      <c r="G279" s="10" t="str">
        <f aca="false">IF(OR(E279="",E279=0),"n/a",IF(F279&lt;0,"n/a",ROUND(F279/E279,1)))</f>
        <v>n/a</v>
      </c>
      <c r="H279" s="10" t="str">
        <f aca="false">IF(F279&lt;0,"Negative (check entry)",IF(OR(E279="",E279=0),IF(F279=0,"No Activity","OK"),IF(F279/E279&lt;0.5,"Low Stock",IF(F279/E279&gt;3,"Overstock","OK"))))</f>
        <v>No Activity</v>
      </c>
      <c r="I279" s="16"/>
    </row>
    <row r="280" customFormat="false" ht="15" hidden="false" customHeight="false" outlineLevel="0" collapsed="false">
      <c r="A280" s="15" t="s">
        <v>44</v>
      </c>
      <c r="B280" s="15" t="s">
        <v>45</v>
      </c>
      <c r="C280" s="15" t="s">
        <v>124</v>
      </c>
      <c r="D280" s="15" t="n">
        <v>0</v>
      </c>
      <c r="E280" s="15" t="n">
        <v>0</v>
      </c>
      <c r="F280" s="15" t="n">
        <v>0</v>
      </c>
      <c r="G280" s="10" t="str">
        <f aca="false">IF(OR(E280="",E280=0),"n/a",IF(F280&lt;0,"n/a",ROUND(F280/E280,1)))</f>
        <v>n/a</v>
      </c>
      <c r="H280" s="10" t="str">
        <f aca="false">IF(F280&lt;0,"Negative (check entry)",IF(OR(E280="",E280=0),IF(F280=0,"No Activity","OK"),IF(F280/E280&lt;0.5,"Low Stock",IF(F280/E280&gt;3,"Overstock","OK"))))</f>
        <v>No Activity</v>
      </c>
      <c r="I280" s="16"/>
    </row>
    <row r="281" customFormat="false" ht="15" hidden="false" customHeight="false" outlineLevel="0" collapsed="false">
      <c r="A281" s="15" t="s">
        <v>44</v>
      </c>
      <c r="B281" s="15" t="s">
        <v>45</v>
      </c>
      <c r="C281" s="15" t="s">
        <v>119</v>
      </c>
      <c r="D281" s="15" t="n">
        <v>800</v>
      </c>
      <c r="E281" s="15" t="n">
        <v>440</v>
      </c>
      <c r="F281" s="15" t="n">
        <v>360</v>
      </c>
      <c r="G281" s="10" t="n">
        <f aca="false">IF(OR(E281="",E281=0),"n/a",IF(F281&lt;0,"n/a",ROUND(F281/E281,1)))</f>
        <v>0.8</v>
      </c>
      <c r="H281" s="10" t="str">
        <f aca="false">IF(F281&lt;0,"Negative (check entry)",IF(OR(E281="",E281=0),IF(F281=0,"No Activity","OK"),IF(F281/E281&lt;0.5,"Low Stock",IF(F281/E281&gt;3,"Overstock","OK"))))</f>
        <v>OK</v>
      </c>
      <c r="I281" s="16"/>
    </row>
    <row r="282" customFormat="false" ht="15" hidden="false" customHeight="false" outlineLevel="0" collapsed="false">
      <c r="A282" s="15" t="s">
        <v>44</v>
      </c>
      <c r="B282" s="15" t="s">
        <v>45</v>
      </c>
      <c r="C282" s="15" t="s">
        <v>59</v>
      </c>
      <c r="D282" s="15" t="n">
        <v>880</v>
      </c>
      <c r="E282" s="15" t="n">
        <v>680</v>
      </c>
      <c r="F282" s="15" t="n">
        <v>1200</v>
      </c>
      <c r="G282" s="10" t="n">
        <f aca="false">IF(OR(E282="",E282=0),"n/a",IF(F282&lt;0,"n/a",ROUND(F282/E282,1)))</f>
        <v>1.8</v>
      </c>
      <c r="H282" s="10" t="str">
        <f aca="false">IF(F282&lt;0,"Negative (check entry)",IF(OR(E282="",E282=0),IF(F282=0,"No Activity","OK"),IF(F282/E282&lt;0.5,"Low Stock",IF(F282/E282&gt;3,"Overstock","OK"))))</f>
        <v>OK</v>
      </c>
      <c r="I282" s="16"/>
    </row>
    <row r="283" customFormat="false" ht="15" hidden="false" customHeight="false" outlineLevel="0" collapsed="false">
      <c r="A283" s="15" t="s">
        <v>44</v>
      </c>
      <c r="B283" s="15" t="s">
        <v>45</v>
      </c>
      <c r="C283" s="15" t="s">
        <v>80</v>
      </c>
      <c r="D283" s="15" t="n">
        <v>0</v>
      </c>
      <c r="E283" s="15" t="n">
        <v>0</v>
      </c>
      <c r="F283" s="15" t="n">
        <v>0</v>
      </c>
      <c r="G283" s="10" t="str">
        <f aca="false">IF(OR(E283="",E283=0),"n/a",IF(F283&lt;0,"n/a",ROUND(F283/E283,1)))</f>
        <v>n/a</v>
      </c>
      <c r="H283" s="10" t="str">
        <f aca="false">IF(F283&lt;0,"Negative (check entry)",IF(OR(E283="",E283=0),IF(F283=0,"No Activity","OK"),IF(F283/E283&lt;0.5,"Low Stock",IF(F283/E283&gt;3,"Overstock","OK"))))</f>
        <v>No Activity</v>
      </c>
      <c r="I283" s="16"/>
    </row>
    <row r="284" customFormat="false" ht="15" hidden="false" customHeight="false" outlineLevel="0" collapsed="false">
      <c r="A284" s="15" t="s">
        <v>44</v>
      </c>
      <c r="B284" s="15" t="s">
        <v>45</v>
      </c>
      <c r="C284" s="15" t="s">
        <v>154</v>
      </c>
      <c r="D284" s="15" t="n">
        <v>0</v>
      </c>
      <c r="E284" s="15" t="n">
        <v>0</v>
      </c>
      <c r="F284" s="15" t="n">
        <v>0</v>
      </c>
      <c r="G284" s="10" t="str">
        <f aca="false">IF(OR(E284="",E284=0),"n/a",IF(F284&lt;0,"n/a",ROUND(F284/E284,1)))</f>
        <v>n/a</v>
      </c>
      <c r="H284" s="10" t="str">
        <f aca="false">IF(F284&lt;0,"Negative (check entry)",IF(OR(E284="",E284=0),IF(F284=0,"No Activity","OK"),IF(F284/E284&lt;0.5,"Low Stock",IF(F284/E284&gt;3,"Overstock","OK"))))</f>
        <v>No Activity</v>
      </c>
      <c r="I284" s="16"/>
    </row>
    <row r="285" customFormat="false" ht="15" hidden="false" customHeight="false" outlineLevel="0" collapsed="false">
      <c r="A285" s="15" t="s">
        <v>44</v>
      </c>
      <c r="B285" s="15" t="s">
        <v>209</v>
      </c>
      <c r="C285" s="15" t="s">
        <v>98</v>
      </c>
      <c r="D285" s="15" t="n">
        <v>0</v>
      </c>
      <c r="E285" s="15" t="n">
        <v>0</v>
      </c>
      <c r="F285" s="15" t="n">
        <v>0</v>
      </c>
      <c r="G285" s="10" t="str">
        <f aca="false">IF(OR(E285="",E285=0),"n/a",IF(F285&lt;0,"n/a",ROUND(F285/E285,1)))</f>
        <v>n/a</v>
      </c>
      <c r="H285" s="10" t="str">
        <f aca="false">IF(F285&lt;0,"Negative (check entry)",IF(OR(E285="",E285=0),IF(F285=0,"No Activity","OK"),IF(F285/E285&lt;0.5,"Low Stock",IF(F285/E285&gt;3,"Overstock","OK"))))</f>
        <v>No Activity</v>
      </c>
      <c r="I285" s="16"/>
    </row>
    <row r="286" customFormat="false" ht="15" hidden="false" customHeight="false" outlineLevel="0" collapsed="false">
      <c r="A286" s="15" t="s">
        <v>44</v>
      </c>
      <c r="B286" s="15" t="s">
        <v>209</v>
      </c>
      <c r="C286" s="15" t="s">
        <v>127</v>
      </c>
      <c r="D286" s="15" t="n">
        <v>0</v>
      </c>
      <c r="E286" s="15" t="n">
        <v>0</v>
      </c>
      <c r="F286" s="15" t="n">
        <v>0</v>
      </c>
      <c r="G286" s="10" t="str">
        <f aca="false">IF(OR(E286="",E286=0),"n/a",IF(F286&lt;0,"n/a",ROUND(F286/E286,1)))</f>
        <v>n/a</v>
      </c>
      <c r="H286" s="10" t="str">
        <f aca="false">IF(F286&lt;0,"Negative (check entry)",IF(OR(E286="",E286=0),IF(F286=0,"No Activity","OK"),IF(F286/E286&lt;0.5,"Low Stock",IF(F286/E286&gt;3,"Overstock","OK"))))</f>
        <v>No Activity</v>
      </c>
      <c r="I286" s="16"/>
    </row>
    <row r="287" customFormat="false" ht="15" hidden="false" customHeight="false" outlineLevel="0" collapsed="false">
      <c r="A287" s="15" t="s">
        <v>44</v>
      </c>
      <c r="B287" s="15" t="s">
        <v>209</v>
      </c>
      <c r="C287" s="15" t="s">
        <v>210</v>
      </c>
      <c r="D287" s="15" t="n">
        <v>0</v>
      </c>
      <c r="E287" s="15" t="n">
        <v>0</v>
      </c>
      <c r="F287" s="15" t="n">
        <v>0</v>
      </c>
      <c r="G287" s="10" t="str">
        <f aca="false">IF(OR(E287="",E287=0),"n/a",IF(F287&lt;0,"n/a",ROUND(F287/E287,1)))</f>
        <v>n/a</v>
      </c>
      <c r="H287" s="10" t="str">
        <f aca="false">IF(F287&lt;0,"Negative (check entry)",IF(OR(E287="",E287=0),IF(F287=0,"No Activity","OK"),IF(F287/E287&lt;0.5,"Low Stock",IF(F287/E287&gt;3,"Overstock","OK"))))</f>
        <v>No Activity</v>
      </c>
      <c r="I287" s="16"/>
    </row>
    <row r="288" customFormat="false" ht="15" hidden="false" customHeight="false" outlineLevel="0" collapsed="false">
      <c r="A288" s="15" t="s">
        <v>44</v>
      </c>
      <c r="B288" s="15" t="s">
        <v>209</v>
      </c>
      <c r="C288" s="15" t="s">
        <v>141</v>
      </c>
      <c r="D288" s="15" t="n">
        <v>0</v>
      </c>
      <c r="E288" s="15" t="n">
        <v>0</v>
      </c>
      <c r="F288" s="15" t="n">
        <v>0</v>
      </c>
      <c r="G288" s="10" t="str">
        <f aca="false">IF(OR(E288="",E288=0),"n/a",IF(F288&lt;0,"n/a",ROUND(F288/E288,1)))</f>
        <v>n/a</v>
      </c>
      <c r="H288" s="10" t="str">
        <f aca="false">IF(F288&lt;0,"Negative (check entry)",IF(OR(E288="",E288=0),IF(F288=0,"No Activity","OK"),IF(F288/E288&lt;0.5,"Low Stock",IF(F288/E288&gt;3,"Overstock","OK"))))</f>
        <v>No Activity</v>
      </c>
      <c r="I288" s="16"/>
    </row>
    <row r="289" customFormat="false" ht="15" hidden="false" customHeight="false" outlineLevel="0" collapsed="false">
      <c r="A289" s="15" t="s">
        <v>44</v>
      </c>
      <c r="B289" s="15" t="s">
        <v>209</v>
      </c>
      <c r="C289" s="15" t="s">
        <v>119</v>
      </c>
      <c r="D289" s="15" t="n">
        <v>0</v>
      </c>
      <c r="E289" s="15" t="n">
        <v>0</v>
      </c>
      <c r="F289" s="15" t="n">
        <v>0</v>
      </c>
      <c r="G289" s="10" t="str">
        <f aca="false">IF(OR(E289="",E289=0),"n/a",IF(F289&lt;0,"n/a",ROUND(F289/E289,1)))</f>
        <v>n/a</v>
      </c>
      <c r="H289" s="10" t="str">
        <f aca="false">IF(F289&lt;0,"Negative (check entry)",IF(OR(E289="",E289=0),IF(F289=0,"No Activity","OK"),IF(F289/E289&lt;0.5,"Low Stock",IF(F289/E289&gt;3,"Overstock","OK"))))</f>
        <v>No Activity</v>
      </c>
      <c r="I289" s="16"/>
    </row>
    <row r="290" customFormat="false" ht="15" hidden="false" customHeight="false" outlineLevel="0" collapsed="false">
      <c r="A290" s="15" t="s">
        <v>44</v>
      </c>
      <c r="B290" s="15" t="s">
        <v>209</v>
      </c>
      <c r="C290" s="15" t="s">
        <v>38</v>
      </c>
      <c r="D290" s="15" t="n">
        <v>0</v>
      </c>
      <c r="E290" s="15" t="n">
        <v>0</v>
      </c>
      <c r="F290" s="15" t="n">
        <v>0</v>
      </c>
      <c r="G290" s="10" t="str">
        <f aca="false">IF(OR(E290="",E290=0),"n/a",IF(F290&lt;0,"n/a",ROUND(F290/E290,1)))</f>
        <v>n/a</v>
      </c>
      <c r="H290" s="10" t="str">
        <f aca="false">IF(F290&lt;0,"Negative (check entry)",IF(OR(E290="",E290=0),IF(F290=0,"No Activity","OK"),IF(F290/E290&lt;0.5,"Low Stock",IF(F290/E290&gt;3,"Overstock","OK"))))</f>
        <v>No Activity</v>
      </c>
      <c r="I290" s="16"/>
    </row>
    <row r="291" customFormat="false" ht="15" hidden="false" customHeight="false" outlineLevel="0" collapsed="false">
      <c r="A291" s="15" t="s">
        <v>44</v>
      </c>
      <c r="B291" s="15" t="s">
        <v>209</v>
      </c>
      <c r="C291" s="15" t="s">
        <v>188</v>
      </c>
      <c r="D291" s="15" t="n">
        <v>0</v>
      </c>
      <c r="E291" s="15" t="n">
        <v>0</v>
      </c>
      <c r="F291" s="15" t="n">
        <v>0</v>
      </c>
      <c r="G291" s="10" t="str">
        <f aca="false">IF(OR(E291="",E291=0),"n/a",IF(F291&lt;0,"n/a",ROUND(F291/E291,1)))</f>
        <v>n/a</v>
      </c>
      <c r="H291" s="10" t="str">
        <f aca="false">IF(F291&lt;0,"Negative (check entry)",IF(OR(E291="",E291=0),IF(F291=0,"No Activity","OK"),IF(F291/E291&lt;0.5,"Low Stock",IF(F291/E291&gt;3,"Overstock","OK"))))</f>
        <v>No Activity</v>
      </c>
      <c r="I291" s="16"/>
    </row>
    <row r="292" customFormat="false" ht="15" hidden="false" customHeight="false" outlineLevel="0" collapsed="false">
      <c r="A292" s="15" t="s">
        <v>44</v>
      </c>
      <c r="B292" s="15" t="s">
        <v>209</v>
      </c>
      <c r="C292" s="15" t="s">
        <v>42</v>
      </c>
      <c r="D292" s="15" t="n">
        <v>0</v>
      </c>
      <c r="E292" s="15" t="n">
        <v>0</v>
      </c>
      <c r="F292" s="15" t="n">
        <v>0</v>
      </c>
      <c r="G292" s="10" t="str">
        <f aca="false">IF(OR(E292="",E292=0),"n/a",IF(F292&lt;0,"n/a",ROUND(F292/E292,1)))</f>
        <v>n/a</v>
      </c>
      <c r="H292" s="10" t="str">
        <f aca="false">IF(F292&lt;0,"Negative (check entry)",IF(OR(E292="",E292=0),IF(F292=0,"No Activity","OK"),IF(F292/E292&lt;0.5,"Low Stock",IF(F292/E292&gt;3,"Overstock","OK"))))</f>
        <v>No Activity</v>
      </c>
      <c r="I292" s="16"/>
    </row>
    <row r="293" customFormat="false" ht="15" hidden="false" customHeight="false" outlineLevel="0" collapsed="false">
      <c r="A293" s="15" t="s">
        <v>44</v>
      </c>
      <c r="B293" s="15" t="s">
        <v>209</v>
      </c>
      <c r="C293" s="15" t="s">
        <v>101</v>
      </c>
      <c r="D293" s="15" t="n">
        <v>6640</v>
      </c>
      <c r="E293" s="15" t="n">
        <v>12200</v>
      </c>
      <c r="F293" s="15" t="n">
        <v>4880</v>
      </c>
      <c r="G293" s="10" t="n">
        <f aca="false">IF(OR(E293="",E293=0),"n/a",IF(F293&lt;0,"n/a",ROUND(F293/E293,1)))</f>
        <v>0.4</v>
      </c>
      <c r="H293" s="10" t="str">
        <f aca="false">IF(F293&lt;0,"Negative (check entry)",IF(OR(E293="",E293=0),IF(F293=0,"No Activity","OK"),IF(F293/E293&lt;0.5,"Low Stock",IF(F293/E293&gt;3,"Overstock","OK"))))</f>
        <v>Low Stock</v>
      </c>
      <c r="I293" s="16"/>
    </row>
    <row r="294" customFormat="false" ht="15" hidden="false" customHeight="false" outlineLevel="0" collapsed="false">
      <c r="A294" s="15" t="s">
        <v>44</v>
      </c>
      <c r="B294" s="15" t="s">
        <v>209</v>
      </c>
      <c r="C294" s="15" t="s">
        <v>47</v>
      </c>
      <c r="D294" s="15" t="n">
        <v>0</v>
      </c>
      <c r="E294" s="15" t="n">
        <v>0</v>
      </c>
      <c r="F294" s="15" t="n">
        <v>26</v>
      </c>
      <c r="G294" s="10" t="str">
        <f aca="false">IF(OR(E294="",E294=0),"n/a",IF(F294&lt;0,"n/a",ROUND(F294/E294,1)))</f>
        <v>n/a</v>
      </c>
      <c r="H294" s="10" t="str">
        <f aca="false">IF(F294&lt;0,"Negative (check entry)",IF(OR(E294="",E294=0),IF(F294=0,"No Activity","OK"),IF(F294/E294&lt;0.5,"Low Stock",IF(F294/E294&gt;3,"Overstock","OK"))))</f>
        <v>OK</v>
      </c>
      <c r="I294" s="16"/>
    </row>
    <row r="295" customFormat="false" ht="15" hidden="false" customHeight="false" outlineLevel="0" collapsed="false">
      <c r="A295" s="15" t="s">
        <v>44</v>
      </c>
      <c r="B295" s="15" t="s">
        <v>209</v>
      </c>
      <c r="C295" s="15" t="s">
        <v>102</v>
      </c>
      <c r="D295" s="15" t="n">
        <v>6640</v>
      </c>
      <c r="E295" s="15" t="n">
        <v>12200</v>
      </c>
      <c r="F295" s="15" t="n">
        <v>4906</v>
      </c>
      <c r="G295" s="10" t="n">
        <f aca="false">IF(OR(E295="",E295=0),"n/a",IF(F295&lt;0,"n/a",ROUND(F295/E295,1)))</f>
        <v>0.4</v>
      </c>
      <c r="H295" s="10" t="str">
        <f aca="false">IF(F295&lt;0,"Negative (check entry)",IF(OR(E295="",E295=0),IF(F295=0,"No Activity","OK"),IF(F295/E295&lt;0.5,"Low Stock",IF(F295/E295&gt;3,"Overstock","OK"))))</f>
        <v>Low Stock</v>
      </c>
      <c r="I295" s="16"/>
    </row>
    <row r="296" customFormat="false" ht="15" hidden="false" customHeight="false" outlineLevel="0" collapsed="false">
      <c r="A296" s="15" t="s">
        <v>44</v>
      </c>
      <c r="B296" s="15" t="s">
        <v>209</v>
      </c>
      <c r="C296" s="15" t="s">
        <v>172</v>
      </c>
      <c r="D296" s="15" t="n">
        <v>0</v>
      </c>
      <c r="E296" s="15" t="n">
        <v>0</v>
      </c>
      <c r="F296" s="15" t="n">
        <v>53</v>
      </c>
      <c r="G296" s="10" t="str">
        <f aca="false">IF(OR(E296="",E296=0),"n/a",IF(F296&lt;0,"n/a",ROUND(F296/E296,1)))</f>
        <v>n/a</v>
      </c>
      <c r="H296" s="10" t="str">
        <f aca="false">IF(F296&lt;0,"Negative (check entry)",IF(OR(E296="",E296=0),IF(F296=0,"No Activity","OK"),IF(F296/E296&lt;0.5,"Low Stock",IF(F296/E296&gt;3,"Overstock","OK"))))</f>
        <v>OK</v>
      </c>
      <c r="I296" s="16"/>
    </row>
    <row r="297" customFormat="false" ht="15" hidden="false" customHeight="false" outlineLevel="0" collapsed="false">
      <c r="A297" s="15" t="s">
        <v>44</v>
      </c>
      <c r="B297" s="15" t="s">
        <v>209</v>
      </c>
      <c r="C297" s="15" t="s">
        <v>104</v>
      </c>
      <c r="D297" s="15" t="n">
        <v>6640</v>
      </c>
      <c r="E297" s="15" t="n">
        <v>12200</v>
      </c>
      <c r="F297" s="15" t="n">
        <v>4959</v>
      </c>
      <c r="G297" s="10" t="n">
        <f aca="false">IF(OR(E297="",E297=0),"n/a",IF(F297&lt;0,"n/a",ROUND(F297/E297,1)))</f>
        <v>0.4</v>
      </c>
      <c r="H297" s="10" t="str">
        <f aca="false">IF(F297&lt;0,"Negative (check entry)",IF(OR(E297="",E297=0),IF(F297=0,"No Activity","OK"),IF(F297/E297&lt;0.5,"Low Stock",IF(F297/E297&gt;3,"Overstock","OK"))))</f>
        <v>Low Stock</v>
      </c>
      <c r="I297" s="16"/>
    </row>
    <row r="298" customFormat="false" ht="15" hidden="false" customHeight="false" outlineLevel="0" collapsed="false">
      <c r="A298" s="15" t="s">
        <v>54</v>
      </c>
      <c r="B298" s="15" t="s">
        <v>54</v>
      </c>
      <c r="C298" s="15" t="s">
        <v>79</v>
      </c>
      <c r="D298" s="15" t="n">
        <v>924</v>
      </c>
      <c r="E298" s="15" t="n">
        <v>324</v>
      </c>
      <c r="F298" s="15" t="n">
        <v>600</v>
      </c>
      <c r="G298" s="10" t="n">
        <f aca="false">IF(OR(E298="",E298=0),"n/a",IF(F298&lt;0,"n/a",ROUND(F298/E298,1)))</f>
        <v>1.9</v>
      </c>
      <c r="H298" s="10" t="str">
        <f aca="false">IF(F298&lt;0,"Negative (check entry)",IF(OR(E298="",E298=0),IF(F298=0,"No Activity","OK"),IF(F298/E298&lt;0.5,"Low Stock",IF(F298/E298&gt;3,"Overstock","OK"))))</f>
        <v>OK</v>
      </c>
      <c r="I298" s="16"/>
    </row>
    <row r="299" customFormat="false" ht="15" hidden="false" customHeight="false" outlineLevel="0" collapsed="false">
      <c r="A299" s="15" t="s">
        <v>54</v>
      </c>
      <c r="B299" s="15" t="s">
        <v>54</v>
      </c>
      <c r="C299" s="15" t="s">
        <v>188</v>
      </c>
      <c r="D299" s="15" t="n">
        <v>0</v>
      </c>
      <c r="E299" s="15" t="n">
        <v>0</v>
      </c>
      <c r="F299" s="15" t="n">
        <v>0</v>
      </c>
      <c r="G299" s="10" t="str">
        <f aca="false">IF(OR(E299="",E299=0),"n/a",IF(F299&lt;0,"n/a",ROUND(F299/E299,1)))</f>
        <v>n/a</v>
      </c>
      <c r="H299" s="10" t="str">
        <f aca="false">IF(F299&lt;0,"Negative (check entry)",IF(OR(E299="",E299=0),IF(F299=0,"No Activity","OK"),IF(F299/E299&lt;0.5,"Low Stock",IF(F299/E299&gt;3,"Overstock","OK"))))</f>
        <v>No Activity</v>
      </c>
      <c r="I299" s="16"/>
    </row>
    <row r="300" customFormat="false" ht="15" hidden="false" customHeight="false" outlineLevel="0" collapsed="false">
      <c r="A300" s="15" t="s">
        <v>54</v>
      </c>
      <c r="B300" s="15" t="s">
        <v>54</v>
      </c>
      <c r="C300" s="15" t="s">
        <v>108</v>
      </c>
      <c r="D300" s="15" t="n">
        <v>0</v>
      </c>
      <c r="E300" s="15" t="n">
        <v>0</v>
      </c>
      <c r="F300" s="15" t="n">
        <v>0</v>
      </c>
      <c r="G300" s="10" t="str">
        <f aca="false">IF(OR(E300="",E300=0),"n/a",IF(F300&lt;0,"n/a",ROUND(F300/E300,1)))</f>
        <v>n/a</v>
      </c>
      <c r="H300" s="10" t="str">
        <f aca="false">IF(F300&lt;0,"Negative (check entry)",IF(OR(E300="",E300=0),IF(F300=0,"No Activity","OK"),IF(F300/E300&lt;0.5,"Low Stock",IF(F300/E300&gt;3,"Overstock","OK"))))</f>
        <v>No Activity</v>
      </c>
      <c r="I300" s="16"/>
    </row>
    <row r="301" customFormat="false" ht="15" hidden="false" customHeight="false" outlineLevel="0" collapsed="false">
      <c r="A301" s="15" t="s">
        <v>54</v>
      </c>
      <c r="B301" s="15" t="s">
        <v>54</v>
      </c>
      <c r="C301" s="15" t="s">
        <v>211</v>
      </c>
      <c r="D301" s="15" t="n">
        <v>0</v>
      </c>
      <c r="E301" s="15" t="n">
        <v>0</v>
      </c>
      <c r="F301" s="15" t="n">
        <v>0</v>
      </c>
      <c r="G301" s="10" t="str">
        <f aca="false">IF(OR(E301="",E301=0),"n/a",IF(F301&lt;0,"n/a",ROUND(F301/E301,1)))</f>
        <v>n/a</v>
      </c>
      <c r="H301" s="10" t="str">
        <f aca="false">IF(F301&lt;0,"Negative (check entry)",IF(OR(E301="",E301=0),IF(F301=0,"No Activity","OK"),IF(F301/E301&lt;0.5,"Low Stock",IF(F301/E301&gt;3,"Overstock","OK"))))</f>
        <v>No Activity</v>
      </c>
      <c r="I301" s="16"/>
    </row>
    <row r="302" customFormat="false" ht="15" hidden="false" customHeight="false" outlineLevel="0" collapsed="false">
      <c r="A302" s="15" t="s">
        <v>54</v>
      </c>
      <c r="B302" s="15" t="s">
        <v>54</v>
      </c>
      <c r="C302" s="15" t="s">
        <v>41</v>
      </c>
      <c r="D302" s="15" t="n">
        <v>0</v>
      </c>
      <c r="E302" s="15" t="n">
        <v>0</v>
      </c>
      <c r="F302" s="15" t="n">
        <v>0</v>
      </c>
      <c r="G302" s="10" t="str">
        <f aca="false">IF(OR(E302="",E302=0),"n/a",IF(F302&lt;0,"n/a",ROUND(F302/E302,1)))</f>
        <v>n/a</v>
      </c>
      <c r="H302" s="10" t="str">
        <f aca="false">IF(F302&lt;0,"Negative (check entry)",IF(OR(E302="",E302=0),IF(F302=0,"No Activity","OK"),IF(F302/E302&lt;0.5,"Low Stock",IF(F302/E302&gt;3,"Overstock","OK"))))</f>
        <v>No Activity</v>
      </c>
      <c r="I302" s="16"/>
    </row>
    <row r="303" customFormat="false" ht="15" hidden="false" customHeight="false" outlineLevel="0" collapsed="false">
      <c r="A303" s="15" t="s">
        <v>54</v>
      </c>
      <c r="B303" s="15" t="s">
        <v>54</v>
      </c>
      <c r="C303" s="15" t="s">
        <v>52</v>
      </c>
      <c r="D303" s="15" t="n">
        <v>0</v>
      </c>
      <c r="E303" s="15" t="n">
        <v>0</v>
      </c>
      <c r="F303" s="15" t="n">
        <v>0</v>
      </c>
      <c r="G303" s="10" t="str">
        <f aca="false">IF(OR(E303="",E303=0),"n/a",IF(F303&lt;0,"n/a",ROUND(F303/E303,1)))</f>
        <v>n/a</v>
      </c>
      <c r="H303" s="10" t="str">
        <f aca="false">IF(F303&lt;0,"Negative (check entry)",IF(OR(E303="",E303=0),IF(F303=0,"No Activity","OK"),IF(F303/E303&lt;0.5,"Low Stock",IF(F303/E303&gt;3,"Overstock","OK"))))</f>
        <v>No Activity</v>
      </c>
      <c r="I303" s="16"/>
    </row>
    <row r="304" customFormat="false" ht="15" hidden="false" customHeight="false" outlineLevel="0" collapsed="false">
      <c r="A304" s="15" t="s">
        <v>54</v>
      </c>
      <c r="B304" s="15" t="s">
        <v>54</v>
      </c>
      <c r="C304" s="15" t="s">
        <v>156</v>
      </c>
      <c r="D304" s="15" t="n">
        <v>0</v>
      </c>
      <c r="E304" s="15" t="n">
        <v>0</v>
      </c>
      <c r="F304" s="15" t="n">
        <v>0</v>
      </c>
      <c r="G304" s="10" t="str">
        <f aca="false">IF(OR(E304="",E304=0),"n/a",IF(F304&lt;0,"n/a",ROUND(F304/E304,1)))</f>
        <v>n/a</v>
      </c>
      <c r="H304" s="10" t="str">
        <f aca="false">IF(F304&lt;0,"Negative (check entry)",IF(OR(E304="",E304=0),IF(F304=0,"No Activity","OK"),IF(F304/E304&lt;0.5,"Low Stock",IF(F304/E304&gt;3,"Overstock","OK"))))</f>
        <v>No Activity</v>
      </c>
      <c r="I304" s="16"/>
    </row>
    <row r="305" customFormat="false" ht="15" hidden="false" customHeight="false" outlineLevel="0" collapsed="false">
      <c r="A305" s="15" t="s">
        <v>54</v>
      </c>
      <c r="B305" s="15" t="s">
        <v>54</v>
      </c>
      <c r="C305" s="15" t="s">
        <v>82</v>
      </c>
      <c r="D305" s="15" t="n">
        <v>168</v>
      </c>
      <c r="E305" s="15" t="n">
        <v>336</v>
      </c>
      <c r="F305" s="15" t="n">
        <v>516</v>
      </c>
      <c r="G305" s="10" t="n">
        <f aca="false">IF(OR(E305="",E305=0),"n/a",IF(F305&lt;0,"n/a",ROUND(F305/E305,1)))</f>
        <v>1.5</v>
      </c>
      <c r="H305" s="10" t="str">
        <f aca="false">IF(F305&lt;0,"Negative (check entry)",IF(OR(E305="",E305=0),IF(F305=0,"No Activity","OK"),IF(F305/E305&lt;0.5,"Low Stock",IF(F305/E305&gt;3,"Overstock","OK"))))</f>
        <v>OK</v>
      </c>
      <c r="I305" s="16"/>
    </row>
    <row r="306" customFormat="false" ht="15" hidden="false" customHeight="false" outlineLevel="0" collapsed="false">
      <c r="A306" s="15" t="s">
        <v>54</v>
      </c>
      <c r="B306" s="15" t="s">
        <v>54</v>
      </c>
      <c r="C306" s="15" t="s">
        <v>203</v>
      </c>
      <c r="D306" s="15" t="n">
        <v>0</v>
      </c>
      <c r="E306" s="15" t="n">
        <v>0</v>
      </c>
      <c r="F306" s="15" t="n">
        <v>0</v>
      </c>
      <c r="G306" s="10" t="str">
        <f aca="false">IF(OR(E306="",E306=0),"n/a",IF(F306&lt;0,"n/a",ROUND(F306/E306,1)))</f>
        <v>n/a</v>
      </c>
      <c r="H306" s="10" t="str">
        <f aca="false">IF(F306&lt;0,"Negative (check entry)",IF(OR(E306="",E306=0),IF(F306=0,"No Activity","OK"),IF(F306/E306&lt;0.5,"Low Stock",IF(F306/E306&gt;3,"Overstock","OK"))))</f>
        <v>No Activity</v>
      </c>
      <c r="I306" s="16"/>
    </row>
    <row r="307" customFormat="false" ht="15" hidden="false" customHeight="false" outlineLevel="0" collapsed="false">
      <c r="A307" s="15" t="s">
        <v>54</v>
      </c>
      <c r="B307" s="15" t="s">
        <v>54</v>
      </c>
      <c r="C307" s="15" t="s">
        <v>59</v>
      </c>
      <c r="D307" s="15" t="n">
        <v>0</v>
      </c>
      <c r="E307" s="15" t="n">
        <v>1308</v>
      </c>
      <c r="F307" s="15" t="n">
        <v>-96</v>
      </c>
      <c r="G307" s="10" t="str">
        <f aca="false">IF(OR(E307="",E307=0),"n/a",IF(F307&lt;0,"n/a",ROUND(F307/E307,1)))</f>
        <v>n/a</v>
      </c>
      <c r="H307" s="10" t="str">
        <f aca="false">IF(F307&lt;0,"Negative (check entry)",IF(OR(E307="",E307=0),IF(F307=0,"No Activity","OK"),IF(F307/E307&lt;0.5,"Low Stock",IF(F307/E307&gt;3,"Overstock","OK"))))</f>
        <v>Negative (check entry)</v>
      </c>
      <c r="I307" s="16"/>
    </row>
    <row r="308" customFormat="false" ht="15" hidden="false" customHeight="false" outlineLevel="0" collapsed="false">
      <c r="A308" s="15" t="s">
        <v>54</v>
      </c>
      <c r="B308" s="15" t="s">
        <v>54</v>
      </c>
      <c r="C308" s="15" t="s">
        <v>73</v>
      </c>
      <c r="D308" s="15" t="n">
        <v>0</v>
      </c>
      <c r="E308" s="15" t="n">
        <v>0</v>
      </c>
      <c r="F308" s="15" t="n">
        <v>0</v>
      </c>
      <c r="G308" s="10" t="str">
        <f aca="false">IF(OR(E308="",E308=0),"n/a",IF(F308&lt;0,"n/a",ROUND(F308/E308,1)))</f>
        <v>n/a</v>
      </c>
      <c r="H308" s="10" t="str">
        <f aca="false">IF(F308&lt;0,"Negative (check entry)",IF(OR(E308="",E308=0),IF(F308=0,"No Activity","OK"),IF(F308/E308&lt;0.5,"Low Stock",IF(F308/E308&gt;3,"Overstock","OK"))))</f>
        <v>No Activity</v>
      </c>
      <c r="I308" s="16"/>
    </row>
    <row r="309" customFormat="false" ht="15" hidden="false" customHeight="false" outlineLevel="0" collapsed="false">
      <c r="A309" s="15" t="s">
        <v>54</v>
      </c>
      <c r="B309" s="15" t="s">
        <v>54</v>
      </c>
      <c r="C309" s="15" t="s">
        <v>119</v>
      </c>
      <c r="D309" s="15" t="n">
        <v>708</v>
      </c>
      <c r="E309" s="15" t="n">
        <v>48</v>
      </c>
      <c r="F309" s="15" t="n">
        <v>660</v>
      </c>
      <c r="G309" s="10" t="n">
        <f aca="false">IF(OR(E309="",E309=0),"n/a",IF(F309&lt;0,"n/a",ROUND(F309/E309,1)))</f>
        <v>13.8</v>
      </c>
      <c r="H309" s="10" t="str">
        <f aca="false">IF(F309&lt;0,"Negative (check entry)",IF(OR(E309="",E309=0),IF(F309=0,"No Activity","OK"),IF(F309/E309&lt;0.5,"Low Stock",IF(F309/E309&gt;3,"Overstock","OK"))))</f>
        <v>Overstock</v>
      </c>
      <c r="I309" s="16"/>
    </row>
    <row r="310" customFormat="false" ht="15" hidden="false" customHeight="false" outlineLevel="0" collapsed="false">
      <c r="A310" s="15" t="s">
        <v>54</v>
      </c>
      <c r="B310" s="15" t="s">
        <v>54</v>
      </c>
      <c r="C310" s="15" t="s">
        <v>212</v>
      </c>
      <c r="D310" s="15" t="n">
        <v>0</v>
      </c>
      <c r="E310" s="15" t="n">
        <v>0</v>
      </c>
      <c r="F310" s="15" t="n">
        <v>0</v>
      </c>
      <c r="G310" s="10" t="str">
        <f aca="false">IF(OR(E310="",E310=0),"n/a",IF(F310&lt;0,"n/a",ROUND(F310/E310,1)))</f>
        <v>n/a</v>
      </c>
      <c r="H310" s="10" t="str">
        <f aca="false">IF(F310&lt;0,"Negative (check entry)",IF(OR(E310="",E310=0),IF(F310=0,"No Activity","OK"),IF(F310/E310&lt;0.5,"Low Stock",IF(F310/E310&gt;3,"Overstock","OK"))))</f>
        <v>No Activity</v>
      </c>
      <c r="I310" s="16"/>
    </row>
    <row r="311" customFormat="false" ht="15" hidden="false" customHeight="false" outlineLevel="0" collapsed="false">
      <c r="A311" s="15" t="s">
        <v>54</v>
      </c>
      <c r="B311" s="15" t="s">
        <v>54</v>
      </c>
      <c r="C311" s="15" t="s">
        <v>80</v>
      </c>
      <c r="D311" s="15" t="n">
        <v>492</v>
      </c>
      <c r="E311" s="15" t="n">
        <v>192</v>
      </c>
      <c r="F311" s="15" t="n">
        <v>1164</v>
      </c>
      <c r="G311" s="10" t="n">
        <f aca="false">IF(OR(E311="",E311=0),"n/a",IF(F311&lt;0,"n/a",ROUND(F311/E311,1)))</f>
        <v>6.1</v>
      </c>
      <c r="H311" s="10" t="str">
        <f aca="false">IF(F311&lt;0,"Negative (check entry)",IF(OR(E311="",E311=0),IF(F311=0,"No Activity","OK"),IF(F311/E311&lt;0.5,"Low Stock",IF(F311/E311&gt;3,"Overstock","OK"))))</f>
        <v>Overstock</v>
      </c>
      <c r="I311" s="16"/>
    </row>
    <row r="312" customFormat="false" ht="15" hidden="false" customHeight="false" outlineLevel="0" collapsed="false">
      <c r="A312" s="15" t="s">
        <v>54</v>
      </c>
      <c r="B312" s="15" t="s">
        <v>54</v>
      </c>
      <c r="C312" s="15" t="s">
        <v>38</v>
      </c>
      <c r="D312" s="15" t="n">
        <v>24</v>
      </c>
      <c r="E312" s="15" t="n">
        <v>2016</v>
      </c>
      <c r="F312" s="15" t="n">
        <v>-168</v>
      </c>
      <c r="G312" s="10" t="str">
        <f aca="false">IF(OR(E312="",E312=0),"n/a",IF(F312&lt;0,"n/a",ROUND(F312/E312,1)))</f>
        <v>n/a</v>
      </c>
      <c r="H312" s="10" t="str">
        <f aca="false">IF(F312&lt;0,"Negative (check entry)",IF(OR(E312="",E312=0),IF(F312=0,"No Activity","OK"),IF(F312/E312&lt;0.5,"Low Stock",IF(F312/E312&gt;3,"Overstock","OK"))))</f>
        <v>Negative (check entry)</v>
      </c>
      <c r="I312" s="16"/>
    </row>
    <row r="313" customFormat="false" ht="15" hidden="false" customHeight="false" outlineLevel="0" collapsed="false">
      <c r="A313" s="15" t="s">
        <v>54</v>
      </c>
      <c r="B313" s="15" t="s">
        <v>54</v>
      </c>
      <c r="C313" s="15" t="s">
        <v>101</v>
      </c>
      <c r="D313" s="15" t="n">
        <v>2316</v>
      </c>
      <c r="E313" s="15" t="n">
        <v>4224</v>
      </c>
      <c r="F313" s="15" t="n">
        <v>2676</v>
      </c>
      <c r="G313" s="10" t="n">
        <f aca="false">IF(OR(E313="",E313=0),"n/a",IF(F313&lt;0,"n/a",ROUND(F313/E313,1)))</f>
        <v>0.6</v>
      </c>
      <c r="H313" s="10" t="str">
        <f aca="false">IF(F313&lt;0,"Negative (check entry)",IF(OR(E313="",E313=0),IF(F313=0,"No Activity","OK"),IF(F313/E313&lt;0.5,"Low Stock",IF(F313/E313&gt;3,"Overstock","OK"))))</f>
        <v>OK</v>
      </c>
      <c r="I313" s="16"/>
    </row>
    <row r="314" customFormat="false" ht="15" hidden="false" customHeight="false" outlineLevel="0" collapsed="false">
      <c r="A314" s="15" t="s">
        <v>54</v>
      </c>
      <c r="B314" s="15" t="s">
        <v>54</v>
      </c>
      <c r="C314" s="15" t="s">
        <v>149</v>
      </c>
      <c r="D314" s="15" t="n">
        <v>0</v>
      </c>
      <c r="E314" s="15" t="n">
        <v>0</v>
      </c>
      <c r="F314" s="15" t="n">
        <v>29</v>
      </c>
      <c r="G314" s="10" t="str">
        <f aca="false">IF(OR(E314="",E314=0),"n/a",IF(F314&lt;0,"n/a",ROUND(F314/E314,1)))</f>
        <v>n/a</v>
      </c>
      <c r="H314" s="10" t="str">
        <f aca="false">IF(F314&lt;0,"Negative (check entry)",IF(OR(E314="",E314=0),IF(F314=0,"No Activity","OK"),IF(F314/E314&lt;0.5,"Low Stock",IF(F314/E314&gt;3,"Overstock","OK"))))</f>
        <v>OK</v>
      </c>
      <c r="I314" s="16"/>
    </row>
    <row r="315" customFormat="false" ht="15" hidden="false" customHeight="false" outlineLevel="0" collapsed="false">
      <c r="A315" s="15" t="s">
        <v>54</v>
      </c>
      <c r="B315" s="15" t="s">
        <v>54</v>
      </c>
      <c r="C315" s="15" t="s">
        <v>102</v>
      </c>
      <c r="D315" s="15" t="n">
        <v>2316</v>
      </c>
      <c r="E315" s="15" t="n">
        <v>4224</v>
      </c>
      <c r="F315" s="15" t="n">
        <v>2705</v>
      </c>
      <c r="G315" s="10" t="n">
        <f aca="false">IF(OR(E315="",E315=0),"n/a",IF(F315&lt;0,"n/a",ROUND(F315/E315,1)))</f>
        <v>0.6</v>
      </c>
      <c r="H315" s="10" t="str">
        <f aca="false">IF(F315&lt;0,"Negative (check entry)",IF(OR(E315="",E315=0),IF(F315=0,"No Activity","OK"),IF(F315/E315&lt;0.5,"Low Stock",IF(F315/E315&gt;3,"Overstock","OK"))))</f>
        <v>OK</v>
      </c>
      <c r="I315" s="16"/>
    </row>
    <row r="316" customFormat="false" ht="15" hidden="false" customHeight="false" outlineLevel="0" collapsed="false">
      <c r="A316" s="15" t="s">
        <v>54</v>
      </c>
      <c r="B316" s="15" t="s">
        <v>54</v>
      </c>
      <c r="C316" s="15" t="s">
        <v>150</v>
      </c>
      <c r="D316" s="15" t="n">
        <v>0</v>
      </c>
      <c r="E316" s="15" t="n">
        <v>0</v>
      </c>
      <c r="F316" s="15" t="n">
        <v>77</v>
      </c>
      <c r="G316" s="10" t="str">
        <f aca="false">IF(OR(E316="",E316=0),"n/a",IF(F316&lt;0,"n/a",ROUND(F316/E316,1)))</f>
        <v>n/a</v>
      </c>
      <c r="H316" s="10" t="str">
        <f aca="false">IF(F316&lt;0,"Negative (check entry)",IF(OR(E316="",E316=0),IF(F316=0,"No Activity","OK"),IF(F316/E316&lt;0.5,"Low Stock",IF(F316/E316&gt;3,"Overstock","OK"))))</f>
        <v>OK</v>
      </c>
      <c r="I316" s="16"/>
    </row>
    <row r="317" customFormat="false" ht="15" hidden="false" customHeight="false" outlineLevel="0" collapsed="false">
      <c r="A317" s="15" t="s">
        <v>54</v>
      </c>
      <c r="B317" s="15" t="s">
        <v>54</v>
      </c>
      <c r="C317" s="15" t="s">
        <v>104</v>
      </c>
      <c r="D317" s="15" t="n">
        <v>2316</v>
      </c>
      <c r="E317" s="15" t="n">
        <v>4224</v>
      </c>
      <c r="F317" s="15" t="n">
        <v>2782</v>
      </c>
      <c r="G317" s="10" t="n">
        <f aca="false">IF(OR(E317="",E317=0),"n/a",IF(F317&lt;0,"n/a",ROUND(F317/E317,1)))</f>
        <v>0.7</v>
      </c>
      <c r="H317" s="10" t="str">
        <f aca="false">IF(F317&lt;0,"Negative (check entry)",IF(OR(E317="",E317=0),IF(F317=0,"No Activity","OK"),IF(F317/E317&lt;0.5,"Low Stock",IF(F317/E317&gt;3,"Overstock","OK"))))</f>
        <v>OK</v>
      </c>
      <c r="I317" s="16"/>
    </row>
    <row r="318" customFormat="false" ht="15" hidden="false" customHeight="false" outlineLevel="0" collapsed="false">
      <c r="A318" s="15" t="s">
        <v>213</v>
      </c>
      <c r="B318" s="15" t="s">
        <v>214</v>
      </c>
      <c r="C318" s="15" t="s">
        <v>73</v>
      </c>
      <c r="D318" s="15" t="n">
        <v>0</v>
      </c>
      <c r="E318" s="15" t="n">
        <v>0</v>
      </c>
      <c r="F318" s="15" t="n">
        <v>0</v>
      </c>
      <c r="G318" s="10" t="str">
        <f aca="false">IF(OR(E318="",E318=0),"n/a",IF(F318&lt;0,"n/a",ROUND(F318/E318,1)))</f>
        <v>n/a</v>
      </c>
      <c r="H318" s="10" t="str">
        <f aca="false">IF(F318&lt;0,"Negative (check entry)",IF(OR(E318="",E318=0),IF(F318=0,"No Activity","OK"),IF(F318/E318&lt;0.5,"Low Stock",IF(F318/E318&gt;3,"Overstock","OK"))))</f>
        <v>No Activity</v>
      </c>
      <c r="I318" s="16"/>
    </row>
    <row r="319" customFormat="false" ht="15" hidden="false" customHeight="false" outlineLevel="0" collapsed="false">
      <c r="A319" s="15" t="s">
        <v>213</v>
      </c>
      <c r="B319" s="15" t="s">
        <v>214</v>
      </c>
      <c r="C319" s="15" t="s">
        <v>184</v>
      </c>
      <c r="D319" s="15" t="n">
        <v>0</v>
      </c>
      <c r="E319" s="15" t="n">
        <v>0</v>
      </c>
      <c r="F319" s="15" t="n">
        <v>0</v>
      </c>
      <c r="G319" s="10" t="str">
        <f aca="false">IF(OR(E319="",E319=0),"n/a",IF(F319&lt;0,"n/a",ROUND(F319/E319,1)))</f>
        <v>n/a</v>
      </c>
      <c r="H319" s="10" t="str">
        <f aca="false">IF(F319&lt;0,"Negative (check entry)",IF(OR(E319="",E319=0),IF(F319=0,"No Activity","OK"),IF(F319/E319&lt;0.5,"Low Stock",IF(F319/E319&gt;3,"Overstock","OK"))))</f>
        <v>No Activity</v>
      </c>
      <c r="I319" s="16"/>
    </row>
    <row r="320" customFormat="false" ht="15" hidden="false" customHeight="false" outlineLevel="0" collapsed="false">
      <c r="A320" s="15" t="s">
        <v>213</v>
      </c>
      <c r="B320" s="15" t="s">
        <v>215</v>
      </c>
      <c r="C320" s="15" t="s">
        <v>140</v>
      </c>
      <c r="D320" s="15" t="n">
        <v>0</v>
      </c>
      <c r="E320" s="15" t="n">
        <v>0</v>
      </c>
      <c r="F320" s="15" t="n">
        <v>0</v>
      </c>
      <c r="G320" s="10" t="str">
        <f aca="false">IF(OR(E320="",E320=0),"n/a",IF(F320&lt;0,"n/a",ROUND(F320/E320,1)))</f>
        <v>n/a</v>
      </c>
      <c r="H320" s="10" t="str">
        <f aca="false">IF(F320&lt;0,"Negative (check entry)",IF(OR(E320="",E320=0),IF(F320=0,"No Activity","OK"),IF(F320/E320&lt;0.5,"Low Stock",IF(F320/E320&gt;3,"Overstock","OK"))))</f>
        <v>No Activity</v>
      </c>
      <c r="I320" s="16"/>
    </row>
    <row r="321" customFormat="false" ht="15" hidden="false" customHeight="false" outlineLevel="0" collapsed="false">
      <c r="A321" s="15" t="s">
        <v>213</v>
      </c>
      <c r="B321" s="15" t="s">
        <v>215</v>
      </c>
      <c r="C321" s="15" t="s">
        <v>203</v>
      </c>
      <c r="D321" s="15" t="n">
        <v>0</v>
      </c>
      <c r="E321" s="15" t="n">
        <v>0</v>
      </c>
      <c r="F321" s="15" t="n">
        <v>0</v>
      </c>
      <c r="G321" s="10" t="str">
        <f aca="false">IF(OR(E321="",E321=0),"n/a",IF(F321&lt;0,"n/a",ROUND(F321/E321,1)))</f>
        <v>n/a</v>
      </c>
      <c r="H321" s="10" t="str">
        <f aca="false">IF(F321&lt;0,"Negative (check entry)",IF(OR(E321="",E321=0),IF(F321=0,"No Activity","OK"),IF(F321/E321&lt;0.5,"Low Stock",IF(F321/E321&gt;3,"Overstock","OK"))))</f>
        <v>No Activity</v>
      </c>
      <c r="I321" s="16"/>
    </row>
    <row r="322" customFormat="false" ht="15" hidden="false" customHeight="false" outlineLevel="0" collapsed="false">
      <c r="A322" s="15" t="s">
        <v>213</v>
      </c>
      <c r="B322" s="15" t="s">
        <v>216</v>
      </c>
      <c r="C322" s="15" t="s">
        <v>79</v>
      </c>
      <c r="D322" s="15" t="n">
        <v>0</v>
      </c>
      <c r="E322" s="15" t="n">
        <v>288</v>
      </c>
      <c r="F322" s="15" t="n">
        <v>768</v>
      </c>
      <c r="G322" s="10" t="n">
        <f aca="false">IF(OR(E322="",E322=0),"n/a",IF(F322&lt;0,"n/a",ROUND(F322/E322,1)))</f>
        <v>2.7</v>
      </c>
      <c r="H322" s="10" t="str">
        <f aca="false">IF(F322&lt;0,"Negative (check entry)",IF(OR(E322="",E322=0),IF(F322=0,"No Activity","OK"),IF(F322/E322&lt;0.5,"Low Stock",IF(F322/E322&gt;3,"Overstock","OK"))))</f>
        <v>OK</v>
      </c>
      <c r="I322" s="16"/>
    </row>
    <row r="323" customFormat="false" ht="15" hidden="false" customHeight="false" outlineLevel="0" collapsed="false">
      <c r="A323" s="15" t="s">
        <v>213</v>
      </c>
      <c r="B323" s="15" t="s">
        <v>216</v>
      </c>
      <c r="C323" s="15" t="s">
        <v>98</v>
      </c>
      <c r="D323" s="15" t="n">
        <v>0</v>
      </c>
      <c r="E323" s="15" t="n">
        <v>0</v>
      </c>
      <c r="F323" s="15" t="n">
        <v>0</v>
      </c>
      <c r="G323" s="10" t="str">
        <f aca="false">IF(OR(E323="",E323=0),"n/a",IF(F323&lt;0,"n/a",ROUND(F323/E323,1)))</f>
        <v>n/a</v>
      </c>
      <c r="H323" s="10" t="str">
        <f aca="false">IF(F323&lt;0,"Negative (check entry)",IF(OR(E323="",E323=0),IF(F323=0,"No Activity","OK"),IF(F323/E323&lt;0.5,"Low Stock",IF(F323/E323&gt;3,"Overstock","OK"))))</f>
        <v>No Activity</v>
      </c>
      <c r="I323" s="16"/>
    </row>
    <row r="324" customFormat="false" ht="15" hidden="false" customHeight="false" outlineLevel="0" collapsed="false">
      <c r="A324" s="15" t="s">
        <v>213</v>
      </c>
      <c r="B324" s="15" t="s">
        <v>216</v>
      </c>
      <c r="C324" s="15" t="s">
        <v>139</v>
      </c>
      <c r="D324" s="15" t="n">
        <v>80</v>
      </c>
      <c r="E324" s="15" t="n">
        <v>160</v>
      </c>
      <c r="F324" s="15" t="n">
        <v>464</v>
      </c>
      <c r="G324" s="10" t="n">
        <f aca="false">IF(OR(E324="",E324=0),"n/a",IF(F324&lt;0,"n/a",ROUND(F324/E324,1)))</f>
        <v>2.9</v>
      </c>
      <c r="H324" s="10" t="str">
        <f aca="false">IF(F324&lt;0,"Negative (check entry)",IF(OR(E324="",E324=0),IF(F324=0,"No Activity","OK"),IF(F324/E324&lt;0.5,"Low Stock",IF(F324/E324&gt;3,"Overstock","OK"))))</f>
        <v>OK</v>
      </c>
      <c r="I324" s="16"/>
    </row>
    <row r="325" customFormat="false" ht="15" hidden="false" customHeight="false" outlineLevel="0" collapsed="false">
      <c r="A325" s="15" t="s">
        <v>213</v>
      </c>
      <c r="B325" s="15" t="s">
        <v>216</v>
      </c>
      <c r="C325" s="15" t="s">
        <v>217</v>
      </c>
      <c r="D325" s="15" t="n">
        <v>0</v>
      </c>
      <c r="E325" s="15" t="n">
        <v>0</v>
      </c>
      <c r="F325" s="15" t="n">
        <v>0</v>
      </c>
      <c r="G325" s="10" t="str">
        <f aca="false">IF(OR(E325="",E325=0),"n/a",IF(F325&lt;0,"n/a",ROUND(F325/E325,1)))</f>
        <v>n/a</v>
      </c>
      <c r="H325" s="10" t="str">
        <f aca="false">IF(F325&lt;0,"Negative (check entry)",IF(OR(E325="",E325=0),IF(F325=0,"No Activity","OK"),IF(F325/E325&lt;0.5,"Low Stock",IF(F325/E325&gt;3,"Overstock","OK"))))</f>
        <v>No Activity</v>
      </c>
      <c r="I325" s="16"/>
    </row>
    <row r="326" customFormat="false" ht="15" hidden="false" customHeight="false" outlineLevel="0" collapsed="false">
      <c r="A326" s="15" t="s">
        <v>213</v>
      </c>
      <c r="B326" s="15" t="s">
        <v>216</v>
      </c>
      <c r="C326" s="15" t="s">
        <v>119</v>
      </c>
      <c r="D326" s="15" t="n">
        <v>0</v>
      </c>
      <c r="E326" s="15" t="n">
        <v>0</v>
      </c>
      <c r="F326" s="15" t="n">
        <v>0</v>
      </c>
      <c r="G326" s="10" t="str">
        <f aca="false">IF(OR(E326="",E326=0),"n/a",IF(F326&lt;0,"n/a",ROUND(F326/E326,1)))</f>
        <v>n/a</v>
      </c>
      <c r="H326" s="10" t="str">
        <f aca="false">IF(F326&lt;0,"Negative (check entry)",IF(OR(E326="",E326=0),IF(F326=0,"No Activity","OK"),IF(F326/E326&lt;0.5,"Low Stock",IF(F326/E326&gt;3,"Overstock","OK"))))</f>
        <v>No Activity</v>
      </c>
      <c r="I326" s="16"/>
    </row>
    <row r="327" customFormat="false" ht="15" hidden="false" customHeight="false" outlineLevel="0" collapsed="false">
      <c r="A327" s="15" t="s">
        <v>213</v>
      </c>
      <c r="B327" s="15" t="s">
        <v>216</v>
      </c>
      <c r="C327" s="15" t="s">
        <v>38</v>
      </c>
      <c r="D327" s="15" t="n">
        <v>0</v>
      </c>
      <c r="E327" s="15" t="n">
        <v>0</v>
      </c>
      <c r="F327" s="15" t="n">
        <v>0</v>
      </c>
      <c r="G327" s="10" t="str">
        <f aca="false">IF(OR(E327="",E327=0),"n/a",IF(F327&lt;0,"n/a",ROUND(F327/E327,1)))</f>
        <v>n/a</v>
      </c>
      <c r="H327" s="10" t="str">
        <f aca="false">IF(F327&lt;0,"Negative (check entry)",IF(OR(E327="",E327=0),IF(F327=0,"No Activity","OK"),IF(F327/E327&lt;0.5,"Low Stock",IF(F327/E327&gt;3,"Overstock","OK"))))</f>
        <v>No Activity</v>
      </c>
      <c r="I327" s="16"/>
    </row>
    <row r="328" customFormat="false" ht="15" hidden="false" customHeight="false" outlineLevel="0" collapsed="false">
      <c r="A328" s="15" t="s">
        <v>213</v>
      </c>
      <c r="B328" s="15" t="s">
        <v>216</v>
      </c>
      <c r="C328" s="15" t="s">
        <v>80</v>
      </c>
      <c r="D328" s="15" t="n">
        <v>288</v>
      </c>
      <c r="E328" s="15" t="n">
        <v>272</v>
      </c>
      <c r="F328" s="15" t="n">
        <v>1152</v>
      </c>
      <c r="G328" s="10" t="n">
        <f aca="false">IF(OR(E328="",E328=0),"n/a",IF(F328&lt;0,"n/a",ROUND(F328/E328,1)))</f>
        <v>4.2</v>
      </c>
      <c r="H328" s="10" t="str">
        <f aca="false">IF(F328&lt;0,"Negative (check entry)",IF(OR(E328="",E328=0),IF(F328=0,"No Activity","OK"),IF(F328/E328&lt;0.5,"Low Stock",IF(F328/E328&gt;3,"Overstock","OK"))))</f>
        <v>Overstock</v>
      </c>
      <c r="I328" s="16"/>
    </row>
    <row r="329" customFormat="false" ht="15" hidden="false" customHeight="false" outlineLevel="0" collapsed="false">
      <c r="A329" s="15" t="s">
        <v>213</v>
      </c>
      <c r="B329" s="15" t="s">
        <v>216</v>
      </c>
      <c r="C329" s="15" t="s">
        <v>218</v>
      </c>
      <c r="D329" s="15" t="n">
        <v>0</v>
      </c>
      <c r="E329" s="15" t="n">
        <v>0</v>
      </c>
      <c r="F329" s="15" t="n">
        <v>0</v>
      </c>
      <c r="G329" s="10" t="str">
        <f aca="false">IF(OR(E329="",E329=0),"n/a",IF(F329&lt;0,"n/a",ROUND(F329/E329,1)))</f>
        <v>n/a</v>
      </c>
      <c r="H329" s="10" t="str">
        <f aca="false">IF(F329&lt;0,"Negative (check entry)",IF(OR(E329="",E329=0),IF(F329=0,"No Activity","OK"),IF(F329/E329&lt;0.5,"Low Stock",IF(F329/E329&gt;3,"Overstock","OK"))))</f>
        <v>No Activity</v>
      </c>
      <c r="I329" s="16"/>
    </row>
    <row r="330" customFormat="false" ht="15" hidden="false" customHeight="false" outlineLevel="0" collapsed="false">
      <c r="A330" s="15" t="s">
        <v>213</v>
      </c>
      <c r="B330" s="15" t="s">
        <v>216</v>
      </c>
      <c r="C330" s="15" t="s">
        <v>101</v>
      </c>
      <c r="D330" s="15" t="n">
        <v>368</v>
      </c>
      <c r="E330" s="15" t="n">
        <v>720</v>
      </c>
      <c r="F330" s="15" t="n">
        <v>2384</v>
      </c>
      <c r="G330" s="10" t="n">
        <f aca="false">IF(OR(E330="",E330=0),"n/a",IF(F330&lt;0,"n/a",ROUND(F330/E330,1)))</f>
        <v>3.3</v>
      </c>
      <c r="H330" s="10" t="str">
        <f aca="false">IF(F330&lt;0,"Negative (check entry)",IF(OR(E330="",E330=0),IF(F330=0,"No Activity","OK"),IF(F330/E330&lt;0.5,"Low Stock",IF(F330/E330&gt;3,"Overstock","OK"))))</f>
        <v>Overstock</v>
      </c>
      <c r="I330" s="16"/>
    </row>
    <row r="331" customFormat="false" ht="15" hidden="false" customHeight="false" outlineLevel="0" collapsed="false">
      <c r="A331" s="15" t="s">
        <v>213</v>
      </c>
      <c r="B331" s="15" t="s">
        <v>216</v>
      </c>
      <c r="C331" s="15" t="s">
        <v>47</v>
      </c>
      <c r="D331" s="15" t="n">
        <v>0</v>
      </c>
      <c r="E331" s="15" t="n">
        <v>0</v>
      </c>
      <c r="F331" s="15" t="n">
        <v>34</v>
      </c>
      <c r="G331" s="10" t="str">
        <f aca="false">IF(OR(E331="",E331=0),"n/a",IF(F331&lt;0,"n/a",ROUND(F331/E331,1)))</f>
        <v>n/a</v>
      </c>
      <c r="H331" s="10" t="str">
        <f aca="false">IF(F331&lt;0,"Negative (check entry)",IF(OR(E331="",E331=0),IF(F331=0,"No Activity","OK"),IF(F331/E331&lt;0.5,"Low Stock",IF(F331/E331&gt;3,"Overstock","OK"))))</f>
        <v>OK</v>
      </c>
      <c r="I331" s="16"/>
    </row>
    <row r="332" customFormat="false" ht="15" hidden="false" customHeight="false" outlineLevel="0" collapsed="false">
      <c r="A332" s="15" t="s">
        <v>213</v>
      </c>
      <c r="B332" s="15" t="s">
        <v>216</v>
      </c>
      <c r="C332" s="15" t="s">
        <v>102</v>
      </c>
      <c r="D332" s="15" t="n">
        <v>368</v>
      </c>
      <c r="E332" s="15" t="n">
        <v>720</v>
      </c>
      <c r="F332" s="15" t="n">
        <v>2418</v>
      </c>
      <c r="G332" s="10" t="n">
        <f aca="false">IF(OR(E332="",E332=0),"n/a",IF(F332&lt;0,"n/a",ROUND(F332/E332,1)))</f>
        <v>3.4</v>
      </c>
      <c r="H332" s="10" t="str">
        <f aca="false">IF(F332&lt;0,"Negative (check entry)",IF(OR(E332="",E332=0),IF(F332=0,"No Activity","OK"),IF(F332/E332&lt;0.5,"Low Stock",IF(F332/E332&gt;3,"Overstock","OK"))))</f>
        <v>Overstock</v>
      </c>
      <c r="I332" s="16"/>
    </row>
    <row r="333" customFormat="false" ht="15" hidden="false" customHeight="false" outlineLevel="0" collapsed="false">
      <c r="A333" s="15" t="s">
        <v>213</v>
      </c>
      <c r="B333" s="15" t="s">
        <v>216</v>
      </c>
      <c r="C333" s="15" t="s">
        <v>172</v>
      </c>
      <c r="D333" s="15" t="n">
        <v>0</v>
      </c>
      <c r="E333" s="15" t="n">
        <v>0</v>
      </c>
      <c r="F333" s="15" t="n">
        <v>36</v>
      </c>
      <c r="G333" s="10" t="str">
        <f aca="false">IF(OR(E333="",E333=0),"n/a",IF(F333&lt;0,"n/a",ROUND(F333/E333,1)))</f>
        <v>n/a</v>
      </c>
      <c r="H333" s="10" t="str">
        <f aca="false">IF(F333&lt;0,"Negative (check entry)",IF(OR(E333="",E333=0),IF(F333=0,"No Activity","OK"),IF(F333/E333&lt;0.5,"Low Stock",IF(F333/E333&gt;3,"Overstock","OK"))))</f>
        <v>OK</v>
      </c>
      <c r="I333" s="16"/>
    </row>
    <row r="334" customFormat="false" ht="15" hidden="false" customHeight="false" outlineLevel="0" collapsed="false">
      <c r="A334" s="15" t="s">
        <v>213</v>
      </c>
      <c r="B334" s="15" t="s">
        <v>216</v>
      </c>
      <c r="C334" s="15" t="s">
        <v>104</v>
      </c>
      <c r="D334" s="15" t="n">
        <v>368</v>
      </c>
      <c r="E334" s="15" t="n">
        <v>720</v>
      </c>
      <c r="F334" s="15" t="n">
        <v>2454</v>
      </c>
      <c r="G334" s="10" t="n">
        <f aca="false">IF(OR(E334="",E334=0),"n/a",IF(F334&lt;0,"n/a",ROUND(F334/E334,1)))</f>
        <v>3.4</v>
      </c>
      <c r="H334" s="10" t="str">
        <f aca="false">IF(F334&lt;0,"Negative (check entry)",IF(OR(E334="",E334=0),IF(F334=0,"No Activity","OK"),IF(F334/E334&lt;0.5,"Low Stock",IF(F334/E334&gt;3,"Overstock","OK"))))</f>
        <v>Overstock</v>
      </c>
      <c r="I334" s="16"/>
    </row>
    <row r="335" customFormat="false" ht="15" hidden="false" customHeight="false" outlineLevel="0" collapsed="false">
      <c r="A335" s="15" t="s">
        <v>219</v>
      </c>
      <c r="B335" s="15" t="s">
        <v>219</v>
      </c>
      <c r="C335" s="15" t="s">
        <v>220</v>
      </c>
      <c r="D335" s="15" t="n">
        <v>0</v>
      </c>
      <c r="E335" s="15" t="n">
        <v>0</v>
      </c>
      <c r="F335" s="15" t="n">
        <v>0</v>
      </c>
      <c r="G335" s="10" t="str">
        <f aca="false">IF(OR(E335="",E335=0),"n/a",IF(F335&lt;0,"n/a",ROUND(F335/E335,1)))</f>
        <v>n/a</v>
      </c>
      <c r="H335" s="10" t="str">
        <f aca="false">IF(F335&lt;0,"Negative (check entry)",IF(OR(E335="",E335=0),IF(F335=0,"No Activity","OK"),IF(F335/E335&lt;0.5,"Low Stock",IF(F335/E335&gt;3,"Overstock","OK"))))</f>
        <v>No Activity</v>
      </c>
      <c r="I335" s="16"/>
    </row>
    <row r="336" customFormat="false" ht="15" hidden="false" customHeight="false" outlineLevel="0" collapsed="false">
      <c r="A336" s="15" t="s">
        <v>219</v>
      </c>
      <c r="B336" s="15" t="s">
        <v>219</v>
      </c>
      <c r="C336" s="15" t="s">
        <v>38</v>
      </c>
      <c r="D336" s="15" t="n">
        <v>1560</v>
      </c>
      <c r="E336" s="15" t="n">
        <v>180</v>
      </c>
      <c r="F336" s="15" t="n">
        <v>1380</v>
      </c>
      <c r="G336" s="10" t="n">
        <f aca="false">IF(OR(E336="",E336=0),"n/a",IF(F336&lt;0,"n/a",ROUND(F336/E336,1)))</f>
        <v>7.7</v>
      </c>
      <c r="H336" s="10" t="str">
        <f aca="false">IF(F336&lt;0,"Negative (check entry)",IF(OR(E336="",E336=0),IF(F336=0,"No Activity","OK"),IF(F336/E336&lt;0.5,"Low Stock",IF(F336/E336&gt;3,"Overstock","OK"))))</f>
        <v>Overstock</v>
      </c>
      <c r="I336" s="16"/>
    </row>
    <row r="337" customFormat="false" ht="15" hidden="false" customHeight="false" outlineLevel="0" collapsed="false">
      <c r="A337" s="15" t="s">
        <v>219</v>
      </c>
      <c r="B337" s="15" t="s">
        <v>219</v>
      </c>
      <c r="C337" s="15" t="s">
        <v>88</v>
      </c>
      <c r="D337" s="15" t="n">
        <v>0</v>
      </c>
      <c r="E337" s="15" t="n">
        <v>0</v>
      </c>
      <c r="F337" s="15" t="n">
        <v>0</v>
      </c>
      <c r="G337" s="10" t="str">
        <f aca="false">IF(OR(E337="",E337=0),"n/a",IF(F337&lt;0,"n/a",ROUND(F337/E337,1)))</f>
        <v>n/a</v>
      </c>
      <c r="H337" s="10" t="str">
        <f aca="false">IF(F337&lt;0,"Negative (check entry)",IF(OR(E337="",E337=0),IF(F337=0,"No Activity","OK"),IF(F337/E337&lt;0.5,"Low Stock",IF(F337/E337&gt;3,"Overstock","OK"))))</f>
        <v>No Activity</v>
      </c>
      <c r="I337" s="16"/>
    </row>
    <row r="338" customFormat="false" ht="15" hidden="false" customHeight="false" outlineLevel="0" collapsed="false">
      <c r="A338" s="15" t="s">
        <v>219</v>
      </c>
      <c r="B338" s="15" t="s">
        <v>219</v>
      </c>
      <c r="C338" s="15" t="s">
        <v>177</v>
      </c>
      <c r="D338" s="15" t="n">
        <v>0</v>
      </c>
      <c r="E338" s="15" t="n">
        <v>0</v>
      </c>
      <c r="F338" s="15" t="n">
        <v>0</v>
      </c>
      <c r="G338" s="10" t="str">
        <f aca="false">IF(OR(E338="",E338=0),"n/a",IF(F338&lt;0,"n/a",ROUND(F338/E338,1)))</f>
        <v>n/a</v>
      </c>
      <c r="H338" s="10" t="str">
        <f aca="false">IF(F338&lt;0,"Negative (check entry)",IF(OR(E338="",E338=0),IF(F338=0,"No Activity","OK"),IF(F338/E338&lt;0.5,"Low Stock",IF(F338/E338&gt;3,"Overstock","OK"))))</f>
        <v>No Activity</v>
      </c>
      <c r="I338" s="16"/>
    </row>
    <row r="339" customFormat="false" ht="15" hidden="false" customHeight="false" outlineLevel="0" collapsed="false">
      <c r="A339" s="15" t="s">
        <v>219</v>
      </c>
      <c r="B339" s="15" t="s">
        <v>219</v>
      </c>
      <c r="C339" s="15" t="s">
        <v>59</v>
      </c>
      <c r="D339" s="15" t="n">
        <v>1640</v>
      </c>
      <c r="E339" s="15" t="n">
        <v>60</v>
      </c>
      <c r="F339" s="15" t="n">
        <v>1580</v>
      </c>
      <c r="G339" s="10" t="n">
        <f aca="false">IF(OR(E339="",E339=0),"n/a",IF(F339&lt;0,"n/a",ROUND(F339/E339,1)))</f>
        <v>26.3</v>
      </c>
      <c r="H339" s="10" t="str">
        <f aca="false">IF(F339&lt;0,"Negative (check entry)",IF(OR(E339="",E339=0),IF(F339=0,"No Activity","OK"),IF(F339/E339&lt;0.5,"Low Stock",IF(F339/E339&gt;3,"Overstock","OK"))))</f>
        <v>Overstock</v>
      </c>
      <c r="I339" s="16"/>
    </row>
    <row r="340" customFormat="false" ht="15" hidden="false" customHeight="false" outlineLevel="0" collapsed="false">
      <c r="A340" s="15" t="s">
        <v>219</v>
      </c>
      <c r="B340" s="15" t="s">
        <v>219</v>
      </c>
      <c r="C340" s="15" t="s">
        <v>221</v>
      </c>
      <c r="D340" s="15" t="n">
        <v>0</v>
      </c>
      <c r="E340" s="15" t="n">
        <v>0</v>
      </c>
      <c r="F340" s="15" t="n">
        <v>0</v>
      </c>
      <c r="G340" s="10" t="str">
        <f aca="false">IF(OR(E340="",E340=0),"n/a",IF(F340&lt;0,"n/a",ROUND(F340/E340,1)))</f>
        <v>n/a</v>
      </c>
      <c r="H340" s="10" t="str">
        <f aca="false">IF(F340&lt;0,"Negative (check entry)",IF(OR(E340="",E340=0),IF(F340=0,"No Activity","OK"),IF(F340/E340&lt;0.5,"Low Stock",IF(F340/E340&gt;3,"Overstock","OK"))))</f>
        <v>No Activity</v>
      </c>
      <c r="I340" s="16"/>
    </row>
    <row r="341" customFormat="false" ht="15" hidden="false" customHeight="false" outlineLevel="0" collapsed="false">
      <c r="A341" s="15" t="s">
        <v>219</v>
      </c>
      <c r="B341" s="15" t="s">
        <v>219</v>
      </c>
      <c r="C341" s="15" t="s">
        <v>86</v>
      </c>
      <c r="D341" s="15" t="n">
        <v>0</v>
      </c>
      <c r="E341" s="15" t="n">
        <v>0</v>
      </c>
      <c r="F341" s="15" t="n">
        <v>0</v>
      </c>
      <c r="G341" s="10" t="str">
        <f aca="false">IF(OR(E341="",E341=0),"n/a",IF(F341&lt;0,"n/a",ROUND(F341/E341,1)))</f>
        <v>n/a</v>
      </c>
      <c r="H341" s="10" t="str">
        <f aca="false">IF(F341&lt;0,"Negative (check entry)",IF(OR(E341="",E341=0),IF(F341=0,"No Activity","OK"),IF(F341/E341&lt;0.5,"Low Stock",IF(F341/E341&gt;3,"Overstock","OK"))))</f>
        <v>No Activity</v>
      </c>
      <c r="I341" s="16"/>
    </row>
    <row r="342" customFormat="false" ht="15" hidden="false" customHeight="false" outlineLevel="0" collapsed="false">
      <c r="A342" s="15" t="s">
        <v>219</v>
      </c>
      <c r="B342" s="15" t="s">
        <v>219</v>
      </c>
      <c r="C342" s="15" t="s">
        <v>222</v>
      </c>
      <c r="D342" s="15" t="n">
        <v>0</v>
      </c>
      <c r="E342" s="15" t="n">
        <v>0</v>
      </c>
      <c r="F342" s="15" t="n">
        <v>0</v>
      </c>
      <c r="G342" s="10" t="str">
        <f aca="false">IF(OR(E342="",E342=0),"n/a",IF(F342&lt;0,"n/a",ROUND(F342/E342,1)))</f>
        <v>n/a</v>
      </c>
      <c r="H342" s="10" t="str">
        <f aca="false">IF(F342&lt;0,"Negative (check entry)",IF(OR(E342="",E342=0),IF(F342=0,"No Activity","OK"),IF(F342/E342&lt;0.5,"Low Stock",IF(F342/E342&gt;3,"Overstock","OK"))))</f>
        <v>No Activity</v>
      </c>
      <c r="I342" s="16"/>
    </row>
    <row r="343" customFormat="false" ht="15" hidden="false" customHeight="false" outlineLevel="0" collapsed="false">
      <c r="A343" s="15" t="s">
        <v>219</v>
      </c>
      <c r="B343" s="15" t="s">
        <v>219</v>
      </c>
      <c r="C343" s="15" t="s">
        <v>56</v>
      </c>
      <c r="D343" s="15" t="n">
        <v>0</v>
      </c>
      <c r="E343" s="15" t="n">
        <v>0</v>
      </c>
      <c r="F343" s="15" t="n">
        <v>0</v>
      </c>
      <c r="G343" s="10" t="str">
        <f aca="false">IF(OR(E343="",E343=0),"n/a",IF(F343&lt;0,"n/a",ROUND(F343/E343,1)))</f>
        <v>n/a</v>
      </c>
      <c r="H343" s="10" t="str">
        <f aca="false">IF(F343&lt;0,"Negative (check entry)",IF(OR(E343="",E343=0),IF(F343=0,"No Activity","OK"),IF(F343/E343&lt;0.5,"Low Stock",IF(F343/E343&gt;3,"Overstock","OK"))))</f>
        <v>No Activity</v>
      </c>
      <c r="I343" s="16"/>
    </row>
    <row r="344" customFormat="false" ht="15" hidden="false" customHeight="false" outlineLevel="0" collapsed="false">
      <c r="A344" s="15" t="s">
        <v>219</v>
      </c>
      <c r="B344" s="15" t="s">
        <v>219</v>
      </c>
      <c r="C344" s="15" t="s">
        <v>198</v>
      </c>
      <c r="D344" s="15" t="n">
        <v>0</v>
      </c>
      <c r="E344" s="15" t="n">
        <v>0</v>
      </c>
      <c r="F344" s="15" t="n">
        <v>0</v>
      </c>
      <c r="G344" s="10" t="str">
        <f aca="false">IF(OR(E344="",E344=0),"n/a",IF(F344&lt;0,"n/a",ROUND(F344/E344,1)))</f>
        <v>n/a</v>
      </c>
      <c r="H344" s="10" t="str">
        <f aca="false">IF(F344&lt;0,"Negative (check entry)",IF(OR(E344="",E344=0),IF(F344=0,"No Activity","OK"),IF(F344/E344&lt;0.5,"Low Stock",IF(F344/E344&gt;3,"Overstock","OK"))))</f>
        <v>No Activity</v>
      </c>
      <c r="I344" s="16"/>
    </row>
    <row r="345" customFormat="false" ht="15" hidden="false" customHeight="false" outlineLevel="0" collapsed="false">
      <c r="A345" s="15" t="s">
        <v>219</v>
      </c>
      <c r="B345" s="15" t="s">
        <v>219</v>
      </c>
      <c r="C345" s="15" t="s">
        <v>223</v>
      </c>
      <c r="D345" s="15" t="n">
        <v>0</v>
      </c>
      <c r="E345" s="15" t="n">
        <v>0</v>
      </c>
      <c r="F345" s="15" t="n">
        <v>0</v>
      </c>
      <c r="G345" s="10" t="str">
        <f aca="false">IF(OR(E345="",E345=0),"n/a",IF(F345&lt;0,"n/a",ROUND(F345/E345,1)))</f>
        <v>n/a</v>
      </c>
      <c r="H345" s="10" t="str">
        <f aca="false">IF(F345&lt;0,"Negative (check entry)",IF(OR(E345="",E345=0),IF(F345=0,"No Activity","OK"),IF(F345/E345&lt;0.5,"Low Stock",IF(F345/E345&gt;3,"Overstock","OK"))))</f>
        <v>No Activity</v>
      </c>
      <c r="I345" s="16"/>
    </row>
    <row r="346" customFormat="false" ht="15" hidden="false" customHeight="false" outlineLevel="0" collapsed="false">
      <c r="A346" s="15" t="s">
        <v>219</v>
      </c>
      <c r="B346" s="15" t="s">
        <v>219</v>
      </c>
      <c r="C346" s="15" t="s">
        <v>224</v>
      </c>
      <c r="D346" s="15" t="n">
        <v>0</v>
      </c>
      <c r="E346" s="15" t="n">
        <v>0</v>
      </c>
      <c r="F346" s="15" t="n">
        <v>0</v>
      </c>
      <c r="G346" s="10" t="str">
        <f aca="false">IF(OR(E346="",E346=0),"n/a",IF(F346&lt;0,"n/a",ROUND(F346/E346,1)))</f>
        <v>n/a</v>
      </c>
      <c r="H346" s="10" t="str">
        <f aca="false">IF(F346&lt;0,"Negative (check entry)",IF(OR(E346="",E346=0),IF(F346=0,"No Activity","OK"),IF(F346/E346&lt;0.5,"Low Stock",IF(F346/E346&gt;3,"Overstock","OK"))))</f>
        <v>No Activity</v>
      </c>
      <c r="I346" s="16"/>
    </row>
    <row r="347" customFormat="false" ht="15" hidden="false" customHeight="false" outlineLevel="0" collapsed="false">
      <c r="A347" s="15" t="s">
        <v>219</v>
      </c>
      <c r="B347" s="15" t="s">
        <v>219</v>
      </c>
      <c r="C347" s="15" t="s">
        <v>154</v>
      </c>
      <c r="D347" s="15" t="n">
        <v>0</v>
      </c>
      <c r="E347" s="15" t="n">
        <v>0</v>
      </c>
      <c r="F347" s="15" t="n">
        <v>0</v>
      </c>
      <c r="G347" s="10" t="str">
        <f aca="false">IF(OR(E347="",E347=0),"n/a",IF(F347&lt;0,"n/a",ROUND(F347/E347,1)))</f>
        <v>n/a</v>
      </c>
      <c r="H347" s="10" t="str">
        <f aca="false">IF(F347&lt;0,"Negative (check entry)",IF(OR(E347="",E347=0),IF(F347=0,"No Activity","OK"),IF(F347/E347&lt;0.5,"Low Stock",IF(F347/E347&gt;3,"Overstock","OK"))))</f>
        <v>No Activity</v>
      </c>
      <c r="I347" s="16"/>
    </row>
    <row r="348" customFormat="false" ht="15" hidden="false" customHeight="false" outlineLevel="0" collapsed="false">
      <c r="A348" s="15" t="s">
        <v>219</v>
      </c>
      <c r="B348" s="15" t="s">
        <v>219</v>
      </c>
      <c r="C348" s="15" t="s">
        <v>38</v>
      </c>
      <c r="D348" s="15" t="n">
        <v>0</v>
      </c>
      <c r="E348" s="15" t="n">
        <v>0</v>
      </c>
      <c r="F348" s="15" t="n">
        <v>0</v>
      </c>
      <c r="G348" s="10" t="str">
        <f aca="false">IF(OR(E348="",E348=0),"n/a",IF(F348&lt;0,"n/a",ROUND(F348/E348,1)))</f>
        <v>n/a</v>
      </c>
      <c r="H348" s="10" t="str">
        <f aca="false">IF(F348&lt;0,"Negative (check entry)",IF(OR(E348="",E348=0),IF(F348=0,"No Activity","OK"),IF(F348/E348&lt;0.5,"Low Stock",IF(F348/E348&gt;3,"Overstock","OK"))))</f>
        <v>No Activity</v>
      </c>
      <c r="I348" s="16"/>
    </row>
    <row r="349" customFormat="false" ht="15" hidden="false" customHeight="false" outlineLevel="0" collapsed="false">
      <c r="A349" s="15" t="s">
        <v>219</v>
      </c>
      <c r="B349" s="15" t="s">
        <v>219</v>
      </c>
      <c r="C349" s="15" t="s">
        <v>225</v>
      </c>
      <c r="D349" s="15" t="n">
        <v>0</v>
      </c>
      <c r="E349" s="15" t="n">
        <v>0</v>
      </c>
      <c r="F349" s="15" t="n">
        <v>0</v>
      </c>
      <c r="G349" s="10" t="str">
        <f aca="false">IF(OR(E349="",E349=0),"n/a",IF(F349&lt;0,"n/a",ROUND(F349/E349,1)))</f>
        <v>n/a</v>
      </c>
      <c r="H349" s="10" t="str">
        <f aca="false">IF(F349&lt;0,"Negative (check entry)",IF(OR(E349="",E349=0),IF(F349=0,"No Activity","OK"),IF(F349/E349&lt;0.5,"Low Stock",IF(F349/E349&gt;3,"Overstock","OK"))))</f>
        <v>No Activity</v>
      </c>
      <c r="I349" s="16"/>
    </row>
    <row r="350" customFormat="false" ht="15" hidden="false" customHeight="false" outlineLevel="0" collapsed="false">
      <c r="A350" s="15" t="s">
        <v>219</v>
      </c>
      <c r="B350" s="15" t="s">
        <v>219</v>
      </c>
      <c r="C350" s="15" t="s">
        <v>59</v>
      </c>
      <c r="D350" s="15" t="n">
        <v>0</v>
      </c>
      <c r="E350" s="15" t="n">
        <v>0</v>
      </c>
      <c r="F350" s="15" t="n">
        <v>0</v>
      </c>
      <c r="G350" s="10" t="str">
        <f aca="false">IF(OR(E350="",E350=0),"n/a",IF(F350&lt;0,"n/a",ROUND(F350/E350,1)))</f>
        <v>n/a</v>
      </c>
      <c r="H350" s="10" t="str">
        <f aca="false">IF(F350&lt;0,"Negative (check entry)",IF(OR(E350="",E350=0),IF(F350=0,"No Activity","OK"),IF(F350/E350&lt;0.5,"Low Stock",IF(F350/E350&gt;3,"Overstock","OK"))))</f>
        <v>No Activity</v>
      </c>
      <c r="I350" s="16"/>
    </row>
    <row r="351" customFormat="false" ht="15" hidden="false" customHeight="false" outlineLevel="0" collapsed="false">
      <c r="A351" s="15" t="s">
        <v>219</v>
      </c>
      <c r="B351" s="15" t="s">
        <v>219</v>
      </c>
      <c r="C351" s="15" t="s">
        <v>127</v>
      </c>
      <c r="D351" s="15" t="n">
        <v>0</v>
      </c>
      <c r="E351" s="15" t="n">
        <v>0</v>
      </c>
      <c r="F351" s="15" t="n">
        <v>0</v>
      </c>
      <c r="G351" s="10" t="str">
        <f aca="false">IF(OR(E351="",E351=0),"n/a",IF(F351&lt;0,"n/a",ROUND(F351/E351,1)))</f>
        <v>n/a</v>
      </c>
      <c r="H351" s="10" t="str">
        <f aca="false">IF(F351&lt;0,"Negative (check entry)",IF(OR(E351="",E351=0),IF(F351=0,"No Activity","OK"),IF(F351/E351&lt;0.5,"Low Stock",IF(F351/E351&gt;3,"Overstock","OK"))))</f>
        <v>No Activity</v>
      </c>
      <c r="I351" s="16"/>
    </row>
    <row r="352" customFormat="false" ht="15" hidden="false" customHeight="false" outlineLevel="0" collapsed="false">
      <c r="A352" s="15" t="s">
        <v>219</v>
      </c>
      <c r="B352" s="15" t="s">
        <v>219</v>
      </c>
      <c r="C352" s="15" t="s">
        <v>73</v>
      </c>
      <c r="D352" s="15" t="n">
        <v>0</v>
      </c>
      <c r="E352" s="15" t="n">
        <v>0</v>
      </c>
      <c r="F352" s="15" t="n">
        <v>0</v>
      </c>
      <c r="G352" s="10" t="str">
        <f aca="false">IF(OR(E352="",E352=0),"n/a",IF(F352&lt;0,"n/a",ROUND(F352/E352,1)))</f>
        <v>n/a</v>
      </c>
      <c r="H352" s="10" t="str">
        <f aca="false">IF(F352&lt;0,"Negative (check entry)",IF(OR(E352="",E352=0),IF(F352=0,"No Activity","OK"),IF(F352/E352&lt;0.5,"Low Stock",IF(F352/E352&gt;3,"Overstock","OK"))))</f>
        <v>No Activity</v>
      </c>
      <c r="I352" s="16"/>
    </row>
    <row r="353" customFormat="false" ht="15" hidden="false" customHeight="false" outlineLevel="0" collapsed="false">
      <c r="A353" s="15" t="s">
        <v>219</v>
      </c>
      <c r="B353" s="15" t="s">
        <v>219</v>
      </c>
      <c r="C353" s="15" t="s">
        <v>101</v>
      </c>
      <c r="D353" s="15" t="n">
        <v>3200</v>
      </c>
      <c r="E353" s="15" t="n">
        <v>240</v>
      </c>
      <c r="F353" s="15" t="n">
        <v>2960</v>
      </c>
      <c r="G353" s="10" t="n">
        <f aca="false">IF(OR(E353="",E353=0),"n/a",IF(F353&lt;0,"n/a",ROUND(F353/E353,1)))</f>
        <v>12.3</v>
      </c>
      <c r="H353" s="10" t="str">
        <f aca="false">IF(F353&lt;0,"Negative (check entry)",IF(OR(E353="",E353=0),IF(F353=0,"No Activity","OK"),IF(F353/E353&lt;0.5,"Low Stock",IF(F353/E353&gt;3,"Overstock","OK"))))</f>
        <v>Overstock</v>
      </c>
      <c r="I353" s="16"/>
    </row>
    <row r="354" customFormat="false" ht="15" hidden="false" customHeight="false" outlineLevel="0" collapsed="false">
      <c r="A354" s="15" t="s">
        <v>219</v>
      </c>
      <c r="B354" s="15" t="s">
        <v>219</v>
      </c>
      <c r="C354" s="15" t="s">
        <v>47</v>
      </c>
      <c r="D354" s="15" t="n">
        <v>0</v>
      </c>
      <c r="E354" s="15" t="n">
        <v>0</v>
      </c>
      <c r="F354" s="15" t="n">
        <v>0</v>
      </c>
      <c r="G354" s="10" t="str">
        <f aca="false">IF(OR(E354="",E354=0),"n/a",IF(F354&lt;0,"n/a",ROUND(F354/E354,1)))</f>
        <v>n/a</v>
      </c>
      <c r="H354" s="10" t="str">
        <f aca="false">IF(F354&lt;0,"Negative (check entry)",IF(OR(E354="",E354=0),IF(F354=0,"No Activity","OK"),IF(F354/E354&lt;0.5,"Low Stock",IF(F354/E354&gt;3,"Overstock","OK"))))</f>
        <v>No Activity</v>
      </c>
      <c r="I354" s="16"/>
    </row>
    <row r="355" customFormat="false" ht="15" hidden="false" customHeight="false" outlineLevel="0" collapsed="false">
      <c r="A355" s="15" t="s">
        <v>219</v>
      </c>
      <c r="B355" s="15" t="s">
        <v>219</v>
      </c>
      <c r="C355" s="15" t="s">
        <v>102</v>
      </c>
      <c r="D355" s="15" t="n">
        <v>3200</v>
      </c>
      <c r="E355" s="15" t="n">
        <v>240</v>
      </c>
      <c r="F355" s="15" t="n">
        <v>2960</v>
      </c>
      <c r="G355" s="10" t="n">
        <f aca="false">IF(OR(E355="",E355=0),"n/a",IF(F355&lt;0,"n/a",ROUND(F355/E355,1)))</f>
        <v>12.3</v>
      </c>
      <c r="H355" s="10" t="str">
        <f aca="false">IF(F355&lt;0,"Negative (check entry)",IF(OR(E355="",E355=0),IF(F355=0,"No Activity","OK"),IF(F355/E355&lt;0.5,"Low Stock",IF(F355/E355&gt;3,"Overstock","OK"))))</f>
        <v>Overstock</v>
      </c>
      <c r="I355" s="16"/>
    </row>
    <row r="356" customFormat="false" ht="15" hidden="false" customHeight="false" outlineLevel="0" collapsed="false">
      <c r="A356" s="15" t="s">
        <v>219</v>
      </c>
      <c r="B356" s="15" t="s">
        <v>219</v>
      </c>
      <c r="C356" s="15" t="s">
        <v>172</v>
      </c>
      <c r="D356" s="15" t="n">
        <v>0</v>
      </c>
      <c r="E356" s="15" t="n">
        <v>0</v>
      </c>
      <c r="F356" s="15" t="n">
        <v>0</v>
      </c>
      <c r="G356" s="10" t="str">
        <f aca="false">IF(OR(E356="",E356=0),"n/a",IF(F356&lt;0,"n/a",ROUND(F356/E356,1)))</f>
        <v>n/a</v>
      </c>
      <c r="H356" s="10" t="str">
        <f aca="false">IF(F356&lt;0,"Negative (check entry)",IF(OR(E356="",E356=0),IF(F356=0,"No Activity","OK"),IF(F356/E356&lt;0.5,"Low Stock",IF(F356/E356&gt;3,"Overstock","OK"))))</f>
        <v>No Activity</v>
      </c>
      <c r="I356" s="16"/>
    </row>
    <row r="357" customFormat="false" ht="15" hidden="false" customHeight="false" outlineLevel="0" collapsed="false">
      <c r="A357" s="15" t="s">
        <v>219</v>
      </c>
      <c r="B357" s="15" t="s">
        <v>219</v>
      </c>
      <c r="C357" s="15" t="s">
        <v>104</v>
      </c>
      <c r="D357" s="15" t="n">
        <v>3200</v>
      </c>
      <c r="E357" s="15" t="n">
        <v>240</v>
      </c>
      <c r="F357" s="15" t="n">
        <v>2960</v>
      </c>
      <c r="G357" s="10" t="n">
        <f aca="false">IF(OR(E357="",E357=0),"n/a",IF(F357&lt;0,"n/a",ROUND(F357/E357,1)))</f>
        <v>12.3</v>
      </c>
      <c r="H357" s="10" t="str">
        <f aca="false">IF(F357&lt;0,"Negative (check entry)",IF(OR(E357="",E357=0),IF(F357=0,"No Activity","OK"),IF(F357/E357&lt;0.5,"Low Stock",IF(F357/E357&gt;3,"Overstock","OK"))))</f>
        <v>Overstock</v>
      </c>
      <c r="I357" s="16"/>
    </row>
    <row r="358" customFormat="false" ht="15" hidden="false" customHeight="false" outlineLevel="0" collapsed="false">
      <c r="A358" s="15" t="s">
        <v>63</v>
      </c>
      <c r="B358" s="15" t="s">
        <v>226</v>
      </c>
      <c r="C358" s="15" t="s">
        <v>38</v>
      </c>
      <c r="D358" s="15" t="n">
        <v>0</v>
      </c>
      <c r="E358" s="15" t="n">
        <v>0</v>
      </c>
      <c r="F358" s="15" t="n">
        <v>0</v>
      </c>
      <c r="G358" s="10" t="str">
        <f aca="false">IF(OR(E358="",E358=0),"n/a",IF(F358&lt;0,"n/a",ROUND(F358/E358,1)))</f>
        <v>n/a</v>
      </c>
      <c r="H358" s="10" t="str">
        <f aca="false">IF(F358&lt;0,"Negative (check entry)",IF(OR(E358="",E358=0),IF(F358=0,"No Activity","OK"),IF(F358/E358&lt;0.5,"Low Stock",IF(F358/E358&gt;3,"Overstock","OK"))))</f>
        <v>No Activity</v>
      </c>
      <c r="I358" s="16"/>
    </row>
    <row r="359" customFormat="false" ht="15" hidden="false" customHeight="false" outlineLevel="0" collapsed="false">
      <c r="A359" s="15" t="s">
        <v>63</v>
      </c>
      <c r="B359" s="15" t="s">
        <v>226</v>
      </c>
      <c r="C359" s="15" t="s">
        <v>227</v>
      </c>
      <c r="D359" s="15" t="n">
        <v>0</v>
      </c>
      <c r="E359" s="15" t="n">
        <v>0</v>
      </c>
      <c r="F359" s="15" t="n">
        <v>0</v>
      </c>
      <c r="G359" s="10" t="str">
        <f aca="false">IF(OR(E359="",E359=0),"n/a",IF(F359&lt;0,"n/a",ROUND(F359/E359,1)))</f>
        <v>n/a</v>
      </c>
      <c r="H359" s="10" t="str">
        <f aca="false">IF(F359&lt;0,"Negative (check entry)",IF(OR(E359="",E359=0),IF(F359=0,"No Activity","OK"),IF(F359/E359&lt;0.5,"Low Stock",IF(F359/E359&gt;3,"Overstock","OK"))))</f>
        <v>No Activity</v>
      </c>
      <c r="I359" s="16"/>
    </row>
    <row r="360" customFormat="false" ht="15" hidden="false" customHeight="false" outlineLevel="0" collapsed="false">
      <c r="A360" s="15" t="s">
        <v>63</v>
      </c>
      <c r="B360" s="15" t="s">
        <v>226</v>
      </c>
      <c r="C360" s="15" t="s">
        <v>100</v>
      </c>
      <c r="D360" s="15" t="n">
        <v>0</v>
      </c>
      <c r="E360" s="15" t="n">
        <v>0</v>
      </c>
      <c r="F360" s="15" t="n">
        <v>0</v>
      </c>
      <c r="G360" s="10" t="str">
        <f aca="false">IF(OR(E360="",E360=0),"n/a",IF(F360&lt;0,"n/a",ROUND(F360/E360,1)))</f>
        <v>n/a</v>
      </c>
      <c r="H360" s="10" t="str">
        <f aca="false">IF(F360&lt;0,"Negative (check entry)",IF(OR(E360="",E360=0),IF(F360=0,"No Activity","OK"),IF(F360/E360&lt;0.5,"Low Stock",IF(F360/E360&gt;3,"Overstock","OK"))))</f>
        <v>No Activity</v>
      </c>
      <c r="I360" s="16"/>
    </row>
    <row r="361" customFormat="false" ht="15" hidden="false" customHeight="false" outlineLevel="0" collapsed="false">
      <c r="A361" s="15" t="s">
        <v>63</v>
      </c>
      <c r="B361" s="15" t="s">
        <v>226</v>
      </c>
      <c r="C361" s="15" t="s">
        <v>228</v>
      </c>
      <c r="D361" s="15" t="n">
        <v>0</v>
      </c>
      <c r="E361" s="15" t="n">
        <v>0</v>
      </c>
      <c r="F361" s="15" t="n">
        <v>0</v>
      </c>
      <c r="G361" s="10" t="str">
        <f aca="false">IF(OR(E361="",E361=0),"n/a",IF(F361&lt;0,"n/a",ROUND(F361/E361,1)))</f>
        <v>n/a</v>
      </c>
      <c r="H361" s="10" t="str">
        <f aca="false">IF(F361&lt;0,"Negative (check entry)",IF(OR(E361="",E361=0),IF(F361=0,"No Activity","OK"),IF(F361/E361&lt;0.5,"Low Stock",IF(F361/E361&gt;3,"Overstock","OK"))))</f>
        <v>No Activity</v>
      </c>
      <c r="I361" s="16"/>
    </row>
    <row r="362" customFormat="false" ht="15" hidden="false" customHeight="false" outlineLevel="0" collapsed="false">
      <c r="A362" s="15" t="s">
        <v>63</v>
      </c>
      <c r="B362" s="15" t="s">
        <v>226</v>
      </c>
      <c r="C362" s="15" t="s">
        <v>59</v>
      </c>
      <c r="D362" s="15" t="n">
        <v>0</v>
      </c>
      <c r="E362" s="15" t="n">
        <v>0</v>
      </c>
      <c r="F362" s="15" t="n">
        <v>0</v>
      </c>
      <c r="G362" s="10" t="str">
        <f aca="false">IF(OR(E362="",E362=0),"n/a",IF(F362&lt;0,"n/a",ROUND(F362/E362,1)))</f>
        <v>n/a</v>
      </c>
      <c r="H362" s="10" t="str">
        <f aca="false">IF(F362&lt;0,"Negative (check entry)",IF(OR(E362="",E362=0),IF(F362=0,"No Activity","OK"),IF(F362/E362&lt;0.5,"Low Stock",IF(F362/E362&gt;3,"Overstock","OK"))))</f>
        <v>No Activity</v>
      </c>
      <c r="I362" s="16"/>
    </row>
    <row r="363" customFormat="false" ht="15" hidden="false" customHeight="false" outlineLevel="0" collapsed="false">
      <c r="A363" s="15" t="s">
        <v>63</v>
      </c>
      <c r="B363" s="15" t="s">
        <v>226</v>
      </c>
      <c r="C363" s="15" t="s">
        <v>229</v>
      </c>
      <c r="D363" s="15" t="n">
        <v>168</v>
      </c>
      <c r="E363" s="15" t="n">
        <v>24</v>
      </c>
      <c r="F363" s="15" t="n">
        <v>144</v>
      </c>
      <c r="G363" s="10" t="n">
        <f aca="false">IF(OR(E363="",E363=0),"n/a",IF(F363&lt;0,"n/a",ROUND(F363/E363,1)))</f>
        <v>6</v>
      </c>
      <c r="H363" s="10" t="str">
        <f aca="false">IF(F363&lt;0,"Negative (check entry)",IF(OR(E363="",E363=0),IF(F363=0,"No Activity","OK"),IF(F363/E363&lt;0.5,"Low Stock",IF(F363/E363&gt;3,"Overstock","OK"))))</f>
        <v>Overstock</v>
      </c>
      <c r="I363" s="16"/>
    </row>
    <row r="364" customFormat="false" ht="15" hidden="false" customHeight="false" outlineLevel="0" collapsed="false">
      <c r="A364" s="15" t="s">
        <v>63</v>
      </c>
      <c r="B364" s="15" t="s">
        <v>226</v>
      </c>
      <c r="C364" s="15" t="s">
        <v>42</v>
      </c>
      <c r="D364" s="15" t="n">
        <v>0</v>
      </c>
      <c r="E364" s="15" t="n">
        <v>0</v>
      </c>
      <c r="F364" s="15" t="n">
        <v>0</v>
      </c>
      <c r="G364" s="10" t="str">
        <f aca="false">IF(OR(E364="",E364=0),"n/a",IF(F364&lt;0,"n/a",ROUND(F364/E364,1)))</f>
        <v>n/a</v>
      </c>
      <c r="H364" s="10" t="str">
        <f aca="false">IF(F364&lt;0,"Negative (check entry)",IF(OR(E364="",E364=0),IF(F364=0,"No Activity","OK"),IF(F364/E364&lt;0.5,"Low Stock",IF(F364/E364&gt;3,"Overstock","OK"))))</f>
        <v>No Activity</v>
      </c>
      <c r="I364" s="16"/>
    </row>
    <row r="365" customFormat="false" ht="15" hidden="false" customHeight="false" outlineLevel="0" collapsed="false">
      <c r="A365" s="15" t="s">
        <v>63</v>
      </c>
      <c r="B365" s="15" t="s">
        <v>64</v>
      </c>
      <c r="C365" s="15" t="s">
        <v>38</v>
      </c>
      <c r="D365" s="15" t="n">
        <v>0</v>
      </c>
      <c r="E365" s="15" t="n">
        <v>1728</v>
      </c>
      <c r="F365" s="15" t="n">
        <v>228</v>
      </c>
      <c r="G365" s="10" t="n">
        <f aca="false">IF(OR(E365="",E365=0),"n/a",IF(F365&lt;0,"n/a",ROUND(F365/E365,1)))</f>
        <v>0.1</v>
      </c>
      <c r="H365" s="10" t="str">
        <f aca="false">IF(F365&lt;0,"Negative (check entry)",IF(OR(E365="",E365=0),IF(F365=0,"No Activity","OK"),IF(F365/E365&lt;0.5,"Low Stock",IF(F365/E365&gt;3,"Overstock","OK"))))</f>
        <v>Low Stock</v>
      </c>
      <c r="I365" s="16"/>
    </row>
    <row r="366" customFormat="false" ht="15" hidden="false" customHeight="false" outlineLevel="0" collapsed="false">
      <c r="A366" s="15" t="s">
        <v>63</v>
      </c>
      <c r="B366" s="15" t="s">
        <v>64</v>
      </c>
      <c r="C366" s="15" t="s">
        <v>177</v>
      </c>
      <c r="D366" s="15" t="n">
        <v>24</v>
      </c>
      <c r="E366" s="15" t="n">
        <v>0</v>
      </c>
      <c r="F366" s="15" t="n">
        <v>24</v>
      </c>
      <c r="G366" s="10" t="str">
        <f aca="false">IF(OR(E366="",E366=0),"n/a",IF(F366&lt;0,"n/a",ROUND(F366/E366,1)))</f>
        <v>n/a</v>
      </c>
      <c r="H366" s="10" t="str">
        <f aca="false">IF(F366&lt;0,"Negative (check entry)",IF(OR(E366="",E366=0),IF(F366=0,"No Activity","OK"),IF(F366/E366&lt;0.5,"Low Stock",IF(F366/E366&gt;3,"Overstock","OK"))))</f>
        <v>OK</v>
      </c>
      <c r="I366" s="16"/>
    </row>
    <row r="367" customFormat="false" ht="15" hidden="false" customHeight="false" outlineLevel="0" collapsed="false">
      <c r="A367" s="15" t="s">
        <v>63</v>
      </c>
      <c r="B367" s="15" t="s">
        <v>64</v>
      </c>
      <c r="C367" s="15" t="s">
        <v>230</v>
      </c>
      <c r="D367" s="15" t="n">
        <v>432</v>
      </c>
      <c r="E367" s="15" t="n">
        <v>1692</v>
      </c>
      <c r="F367" s="15" t="n">
        <v>1320</v>
      </c>
      <c r="G367" s="10" t="n">
        <f aca="false">IF(OR(E367="",E367=0),"n/a",IF(F367&lt;0,"n/a",ROUND(F367/E367,1)))</f>
        <v>0.8</v>
      </c>
      <c r="H367" s="10" t="str">
        <f aca="false">IF(F367&lt;0,"Negative (check entry)",IF(OR(E367="",E367=0),IF(F367=0,"No Activity","OK"),IF(F367/E367&lt;0.5,"Low Stock",IF(F367/E367&gt;3,"Overstock","OK"))))</f>
        <v>OK</v>
      </c>
      <c r="I367" s="16"/>
    </row>
    <row r="368" customFormat="false" ht="15" hidden="false" customHeight="false" outlineLevel="0" collapsed="false">
      <c r="A368" s="15" t="s">
        <v>63</v>
      </c>
      <c r="B368" s="15" t="s">
        <v>64</v>
      </c>
      <c r="C368" s="15" t="s">
        <v>88</v>
      </c>
      <c r="D368" s="15" t="n">
        <v>84</v>
      </c>
      <c r="E368" s="15" t="n">
        <v>84</v>
      </c>
      <c r="F368" s="15" t="n">
        <v>0</v>
      </c>
      <c r="G368" s="10" t="n">
        <f aca="false">IF(OR(E368="",E368=0),"n/a",IF(F368&lt;0,"n/a",ROUND(F368/E368,1)))</f>
        <v>0</v>
      </c>
      <c r="H368" s="10" t="str">
        <f aca="false">IF(F368&lt;0,"Negative (check entry)",IF(OR(E368="",E368=0),IF(F368=0,"No Activity","OK"),IF(F368/E368&lt;0.5,"Low Stock",IF(F368/E368&gt;3,"Overstock","OK"))))</f>
        <v>Low Stock</v>
      </c>
      <c r="I368" s="16"/>
    </row>
    <row r="369" customFormat="false" ht="15" hidden="false" customHeight="false" outlineLevel="0" collapsed="false">
      <c r="A369" s="15" t="s">
        <v>63</v>
      </c>
      <c r="B369" s="15" t="s">
        <v>64</v>
      </c>
      <c r="C369" s="15" t="s">
        <v>59</v>
      </c>
      <c r="D369" s="15" t="n">
        <v>0</v>
      </c>
      <c r="E369" s="15" t="n">
        <v>36</v>
      </c>
      <c r="F369" s="15" t="n">
        <v>-36</v>
      </c>
      <c r="G369" s="10" t="str">
        <f aca="false">IF(OR(E369="",E369=0),"n/a",IF(F369&lt;0,"n/a",ROUND(F369/E369,1)))</f>
        <v>n/a</v>
      </c>
      <c r="H369" s="10" t="str">
        <f aca="false">IF(F369&lt;0,"Negative (check entry)",IF(OR(E369="",E369=0),IF(F369=0,"No Activity","OK"),IF(F369/E369&lt;0.5,"Low Stock",IF(F369/E369&gt;3,"Overstock","OK"))))</f>
        <v>Negative (check entry)</v>
      </c>
      <c r="I369" s="16"/>
    </row>
    <row r="370" customFormat="false" ht="15" hidden="false" customHeight="false" outlineLevel="0" collapsed="false">
      <c r="A370" s="15" t="s">
        <v>63</v>
      </c>
      <c r="B370" s="15" t="s">
        <v>64</v>
      </c>
      <c r="C370" s="15" t="s">
        <v>231</v>
      </c>
      <c r="D370" s="15" t="n">
        <v>180</v>
      </c>
      <c r="E370" s="15" t="n">
        <v>12</v>
      </c>
      <c r="F370" s="15" t="n">
        <v>168</v>
      </c>
      <c r="G370" s="10" t="n">
        <f aca="false">IF(OR(E370="",E370=0),"n/a",IF(F370&lt;0,"n/a",ROUND(F370/E370,1)))</f>
        <v>14</v>
      </c>
      <c r="H370" s="10" t="str">
        <f aca="false">IF(F370&lt;0,"Negative (check entry)",IF(OR(E370="",E370=0),IF(F370=0,"No Activity","OK"),IF(F370/E370&lt;0.5,"Low Stock",IF(F370/E370&gt;3,"Overstock","OK"))))</f>
        <v>Overstock</v>
      </c>
      <c r="I370" s="16"/>
    </row>
    <row r="371" customFormat="false" ht="15" hidden="false" customHeight="false" outlineLevel="0" collapsed="false">
      <c r="A371" s="15" t="s">
        <v>63</v>
      </c>
      <c r="B371" s="15" t="s">
        <v>64</v>
      </c>
      <c r="C371" s="15" t="s">
        <v>127</v>
      </c>
      <c r="D371" s="15" t="n">
        <v>0</v>
      </c>
      <c r="E371" s="15" t="n">
        <v>0</v>
      </c>
      <c r="F371" s="15" t="n">
        <v>0</v>
      </c>
      <c r="G371" s="10" t="str">
        <f aca="false">IF(OR(E371="",E371=0),"n/a",IF(F371&lt;0,"n/a",ROUND(F371/E371,1)))</f>
        <v>n/a</v>
      </c>
      <c r="H371" s="10" t="str">
        <f aca="false">IF(F371&lt;0,"Negative (check entry)",IF(OR(E371="",E371=0),IF(F371=0,"No Activity","OK"),IF(F371/E371&lt;0.5,"Low Stock",IF(F371/E371&gt;3,"Overstock","OK"))))</f>
        <v>No Activity</v>
      </c>
      <c r="I371" s="16"/>
    </row>
    <row r="372" customFormat="false" ht="15" hidden="false" customHeight="false" outlineLevel="0" collapsed="false">
      <c r="A372" s="15" t="s">
        <v>63</v>
      </c>
      <c r="B372" s="15" t="s">
        <v>64</v>
      </c>
      <c r="C372" s="15" t="s">
        <v>73</v>
      </c>
      <c r="D372" s="15" t="n">
        <v>384</v>
      </c>
      <c r="E372" s="15" t="n">
        <v>36</v>
      </c>
      <c r="F372" s="15" t="n">
        <v>348</v>
      </c>
      <c r="G372" s="10" t="n">
        <f aca="false">IF(OR(E372="",E372=0),"n/a",IF(F372&lt;0,"n/a",ROUND(F372/E372,1)))</f>
        <v>9.7</v>
      </c>
      <c r="H372" s="10" t="str">
        <f aca="false">IF(F372&lt;0,"Negative (check entry)",IF(OR(E372="",E372=0),IF(F372=0,"No Activity","OK"),IF(F372/E372&lt;0.5,"Low Stock",IF(F372/E372&gt;3,"Overstock","OK"))))</f>
        <v>Overstock</v>
      </c>
      <c r="I372" s="16"/>
    </row>
    <row r="373" customFormat="false" ht="15" hidden="false" customHeight="false" outlineLevel="0" collapsed="false">
      <c r="A373" s="15" t="s">
        <v>63</v>
      </c>
      <c r="B373" s="15" t="s">
        <v>232</v>
      </c>
      <c r="C373" s="15" t="s">
        <v>38</v>
      </c>
      <c r="D373" s="15" t="n">
        <v>0</v>
      </c>
      <c r="E373" s="15" t="n">
        <v>0</v>
      </c>
      <c r="F373" s="15" t="n">
        <v>0</v>
      </c>
      <c r="G373" s="10" t="str">
        <f aca="false">IF(OR(E373="",E373=0),"n/a",IF(F373&lt;0,"n/a",ROUND(F373/E373,1)))</f>
        <v>n/a</v>
      </c>
      <c r="H373" s="10" t="str">
        <f aca="false">IF(F373&lt;0,"Negative (check entry)",IF(OR(E373="",E373=0),IF(F373=0,"No Activity","OK"),IF(F373/E373&lt;0.5,"Low Stock",IF(F373/E373&gt;3,"Overstock","OK"))))</f>
        <v>No Activity</v>
      </c>
      <c r="I373" s="16"/>
    </row>
    <row r="374" customFormat="false" ht="15" hidden="false" customHeight="false" outlineLevel="0" collapsed="false">
      <c r="A374" s="15" t="s">
        <v>63</v>
      </c>
      <c r="B374" s="15" t="s">
        <v>232</v>
      </c>
      <c r="C374" s="15" t="s">
        <v>233</v>
      </c>
      <c r="D374" s="15" t="n">
        <v>1368</v>
      </c>
      <c r="E374" s="15" t="n">
        <v>3096</v>
      </c>
      <c r="F374" s="15" t="n">
        <v>1356</v>
      </c>
      <c r="G374" s="10" t="n">
        <f aca="false">IF(OR(E374="",E374=0),"n/a",IF(F374&lt;0,"n/a",ROUND(F374/E374,1)))</f>
        <v>0.4</v>
      </c>
      <c r="H374" s="10" t="str">
        <f aca="false">IF(F374&lt;0,"Negative (check entry)",IF(OR(E374="",E374=0),IF(F374=0,"No Activity","OK"),IF(F374/E374&lt;0.5,"Low Stock",IF(F374/E374&gt;3,"Overstock","OK"))))</f>
        <v>Low Stock</v>
      </c>
      <c r="I374" s="16"/>
    </row>
    <row r="375" customFormat="false" ht="15" hidden="false" customHeight="false" outlineLevel="0" collapsed="false">
      <c r="A375" s="15" t="s">
        <v>63</v>
      </c>
      <c r="B375" s="15" t="s">
        <v>232</v>
      </c>
      <c r="C375" s="15" t="s">
        <v>100</v>
      </c>
      <c r="D375" s="15" t="n">
        <v>336</v>
      </c>
      <c r="E375" s="15" t="n">
        <v>192</v>
      </c>
      <c r="F375" s="15" t="n">
        <v>144</v>
      </c>
      <c r="G375" s="10" t="n">
        <f aca="false">IF(OR(E375="",E375=0),"n/a",IF(F375&lt;0,"n/a",ROUND(F375/E375,1)))</f>
        <v>0.8</v>
      </c>
      <c r="H375" s="10" t="str">
        <f aca="false">IF(F375&lt;0,"Negative (check entry)",IF(OR(E375="",E375=0),IF(F375=0,"No Activity","OK"),IF(F375/E375&lt;0.5,"Low Stock",IF(F375/E375&gt;3,"Overstock","OK"))))</f>
        <v>OK</v>
      </c>
      <c r="I375" s="16"/>
    </row>
    <row r="376" customFormat="false" ht="15" hidden="false" customHeight="false" outlineLevel="0" collapsed="false">
      <c r="A376" s="15" t="s">
        <v>63</v>
      </c>
      <c r="B376" s="15" t="s">
        <v>232</v>
      </c>
      <c r="C376" s="15" t="s">
        <v>189</v>
      </c>
      <c r="D376" s="15" t="n">
        <v>24</v>
      </c>
      <c r="E376" s="15" t="n">
        <v>0</v>
      </c>
      <c r="F376" s="15" t="n">
        <v>24</v>
      </c>
      <c r="G376" s="10" t="str">
        <f aca="false">IF(OR(E376="",E376=0),"n/a",IF(F376&lt;0,"n/a",ROUND(F376/E376,1)))</f>
        <v>n/a</v>
      </c>
      <c r="H376" s="10" t="str">
        <f aca="false">IF(F376&lt;0,"Negative (check entry)",IF(OR(E376="",E376=0),IF(F376=0,"No Activity","OK"),IF(F376/E376&lt;0.5,"Low Stock",IF(F376/E376&gt;3,"Overstock","OK"))))</f>
        <v>OK</v>
      </c>
      <c r="I376" s="16"/>
    </row>
    <row r="377" customFormat="false" ht="15" hidden="false" customHeight="false" outlineLevel="0" collapsed="false">
      <c r="A377" s="15" t="s">
        <v>63</v>
      </c>
      <c r="B377" s="15" t="s">
        <v>232</v>
      </c>
      <c r="C377" s="15" t="s">
        <v>59</v>
      </c>
      <c r="D377" s="15" t="n">
        <v>264</v>
      </c>
      <c r="E377" s="15" t="n">
        <v>48</v>
      </c>
      <c r="F377" s="15" t="n">
        <v>216</v>
      </c>
      <c r="G377" s="10" t="n">
        <f aca="false">IF(OR(E377="",E377=0),"n/a",IF(F377&lt;0,"n/a",ROUND(F377/E377,1)))</f>
        <v>4.5</v>
      </c>
      <c r="H377" s="10" t="str">
        <f aca="false">IF(F377&lt;0,"Negative (check entry)",IF(OR(E377="",E377=0),IF(F377=0,"No Activity","OK"),IF(F377/E377&lt;0.5,"Low Stock",IF(F377/E377&gt;3,"Overstock","OK"))))</f>
        <v>Overstock</v>
      </c>
      <c r="I377" s="16"/>
    </row>
    <row r="378" customFormat="false" ht="15" hidden="false" customHeight="false" outlineLevel="0" collapsed="false">
      <c r="A378" s="15" t="s">
        <v>63</v>
      </c>
      <c r="B378" s="15" t="s">
        <v>232</v>
      </c>
      <c r="C378" s="15" t="s">
        <v>141</v>
      </c>
      <c r="D378" s="15" t="n">
        <v>0</v>
      </c>
      <c r="E378" s="15" t="n">
        <v>0</v>
      </c>
      <c r="F378" s="15" t="n">
        <v>0</v>
      </c>
      <c r="G378" s="10" t="str">
        <f aca="false">IF(OR(E378="",E378=0),"n/a",IF(F378&lt;0,"n/a",ROUND(F378/E378,1)))</f>
        <v>n/a</v>
      </c>
      <c r="H378" s="10" t="str">
        <f aca="false">IF(F378&lt;0,"Negative (check entry)",IF(OR(E378="",E378=0),IF(F378=0,"No Activity","OK"),IF(F378/E378&lt;0.5,"Low Stock",IF(F378/E378&gt;3,"Overstock","OK"))))</f>
        <v>No Activity</v>
      </c>
      <c r="I378" s="16"/>
    </row>
    <row r="379" customFormat="false" ht="15" hidden="false" customHeight="false" outlineLevel="0" collapsed="false">
      <c r="A379" s="15" t="s">
        <v>63</v>
      </c>
      <c r="B379" s="15" t="s">
        <v>232</v>
      </c>
      <c r="C379" s="15" t="s">
        <v>234</v>
      </c>
      <c r="D379" s="15" t="n">
        <v>0</v>
      </c>
      <c r="E379" s="15" t="n">
        <v>0</v>
      </c>
      <c r="F379" s="15" t="n">
        <v>0</v>
      </c>
      <c r="G379" s="10" t="str">
        <f aca="false">IF(OR(E379="",E379=0),"n/a",IF(F379&lt;0,"n/a",ROUND(F379/E379,1)))</f>
        <v>n/a</v>
      </c>
      <c r="H379" s="10" t="str">
        <f aca="false">IF(F379&lt;0,"Negative (check entry)",IF(OR(E379="",E379=0),IF(F379=0,"No Activity","OK"),IF(F379/E379&lt;0.5,"Low Stock",IF(F379/E379&gt;3,"Overstock","OK"))))</f>
        <v>No Activity</v>
      </c>
      <c r="I379" s="16"/>
    </row>
    <row r="380" customFormat="false" ht="15" hidden="false" customHeight="false" outlineLevel="0" collapsed="false">
      <c r="A380" s="15" t="s">
        <v>63</v>
      </c>
      <c r="B380" s="15" t="s">
        <v>232</v>
      </c>
      <c r="C380" s="15" t="s">
        <v>235</v>
      </c>
      <c r="D380" s="15" t="n">
        <v>240</v>
      </c>
      <c r="E380" s="15" t="n">
        <v>0</v>
      </c>
      <c r="F380" s="15" t="n">
        <v>240</v>
      </c>
      <c r="G380" s="10" t="str">
        <f aca="false">IF(OR(E380="",E380=0),"n/a",IF(F380&lt;0,"n/a",ROUND(F380/E380,1)))</f>
        <v>n/a</v>
      </c>
      <c r="H380" s="10" t="str">
        <f aca="false">IF(F380&lt;0,"Negative (check entry)",IF(OR(E380="",E380=0),IF(F380=0,"No Activity","OK"),IF(F380/E380&lt;0.5,"Low Stock",IF(F380/E380&gt;3,"Overstock","OK"))))</f>
        <v>OK</v>
      </c>
      <c r="I380" s="16"/>
    </row>
    <row r="381" customFormat="false" ht="15" hidden="false" customHeight="false" outlineLevel="0" collapsed="false">
      <c r="A381" s="15" t="s">
        <v>63</v>
      </c>
      <c r="B381" s="15" t="s">
        <v>232</v>
      </c>
      <c r="C381" s="15" t="s">
        <v>101</v>
      </c>
      <c r="D381" s="15" t="n">
        <v>3504</v>
      </c>
      <c r="E381" s="15" t="n">
        <v>6948</v>
      </c>
      <c r="F381" s="15" t="n">
        <v>4176</v>
      </c>
      <c r="G381" s="10" t="n">
        <f aca="false">IF(OR(E381="",E381=0),"n/a",IF(F381&lt;0,"n/a",ROUND(F381/E381,1)))</f>
        <v>0.6</v>
      </c>
      <c r="H381" s="10" t="str">
        <f aca="false">IF(F381&lt;0,"Negative (check entry)",IF(OR(E381="",E381=0),IF(F381=0,"No Activity","OK"),IF(F381/E381&lt;0.5,"Low Stock",IF(F381/E381&gt;3,"Overstock","OK"))))</f>
        <v>OK</v>
      </c>
      <c r="I381" s="16"/>
    </row>
    <row r="382" customFormat="false" ht="15" hidden="false" customHeight="false" outlineLevel="0" collapsed="false">
      <c r="A382" s="15" t="s">
        <v>63</v>
      </c>
      <c r="B382" s="15" t="s">
        <v>232</v>
      </c>
      <c r="C382" s="15" t="s">
        <v>47</v>
      </c>
      <c r="D382" s="15" t="n">
        <v>0</v>
      </c>
      <c r="E382" s="15" t="n">
        <v>0</v>
      </c>
      <c r="F382" s="15" t="n">
        <v>6</v>
      </c>
      <c r="G382" s="10" t="str">
        <f aca="false">IF(OR(E382="",E382=0),"n/a",IF(F382&lt;0,"n/a",ROUND(F382/E382,1)))</f>
        <v>n/a</v>
      </c>
      <c r="H382" s="10" t="str">
        <f aca="false">IF(F382&lt;0,"Negative (check entry)",IF(OR(E382="",E382=0),IF(F382=0,"No Activity","OK"),IF(F382/E382&lt;0.5,"Low Stock",IF(F382/E382&gt;3,"Overstock","OK"))))</f>
        <v>OK</v>
      </c>
      <c r="I382" s="16"/>
    </row>
    <row r="383" customFormat="false" ht="15" hidden="false" customHeight="false" outlineLevel="0" collapsed="false">
      <c r="A383" s="15" t="s">
        <v>63</v>
      </c>
      <c r="B383" s="15" t="s">
        <v>232</v>
      </c>
      <c r="C383" s="15" t="s">
        <v>102</v>
      </c>
      <c r="D383" s="15" t="n">
        <v>3504</v>
      </c>
      <c r="E383" s="15" t="n">
        <v>6948</v>
      </c>
      <c r="F383" s="15" t="n">
        <v>4182</v>
      </c>
      <c r="G383" s="10" t="n">
        <f aca="false">IF(OR(E383="",E383=0),"n/a",IF(F383&lt;0,"n/a",ROUND(F383/E383,1)))</f>
        <v>0.6</v>
      </c>
      <c r="H383" s="10" t="str">
        <f aca="false">IF(F383&lt;0,"Negative (check entry)",IF(OR(E383="",E383=0),IF(F383=0,"No Activity","OK"),IF(F383/E383&lt;0.5,"Low Stock",IF(F383/E383&gt;3,"Overstock","OK"))))</f>
        <v>OK</v>
      </c>
      <c r="I383" s="16"/>
    </row>
    <row r="384" customFormat="false" ht="15" hidden="false" customHeight="false" outlineLevel="0" collapsed="false">
      <c r="A384" s="15" t="s">
        <v>63</v>
      </c>
      <c r="B384" s="15" t="s">
        <v>232</v>
      </c>
      <c r="C384" s="15" t="s">
        <v>172</v>
      </c>
      <c r="D384" s="15" t="n">
        <v>0</v>
      </c>
      <c r="E384" s="15" t="n">
        <v>0</v>
      </c>
      <c r="F384" s="15" t="n">
        <v>177</v>
      </c>
      <c r="G384" s="10" t="str">
        <f aca="false">IF(OR(E384="",E384=0),"n/a",IF(F384&lt;0,"n/a",ROUND(F384/E384,1)))</f>
        <v>n/a</v>
      </c>
      <c r="H384" s="10" t="str">
        <f aca="false">IF(F384&lt;0,"Negative (check entry)",IF(OR(E384="",E384=0),IF(F384=0,"No Activity","OK"),IF(F384/E384&lt;0.5,"Low Stock",IF(F384/E384&gt;3,"Overstock","OK"))))</f>
        <v>OK</v>
      </c>
      <c r="I384" s="16"/>
    </row>
    <row r="385" customFormat="false" ht="15" hidden="false" customHeight="false" outlineLevel="0" collapsed="false">
      <c r="A385" s="15" t="s">
        <v>63</v>
      </c>
      <c r="B385" s="15" t="s">
        <v>232</v>
      </c>
      <c r="C385" s="15" t="s">
        <v>104</v>
      </c>
      <c r="D385" s="15" t="n">
        <v>3504</v>
      </c>
      <c r="E385" s="15" t="n">
        <v>6948</v>
      </c>
      <c r="F385" s="15" t="n">
        <v>4359</v>
      </c>
      <c r="G385" s="10" t="n">
        <f aca="false">IF(OR(E385="",E385=0),"n/a",IF(F385&lt;0,"n/a",ROUND(F385/E385,1)))</f>
        <v>0.6</v>
      </c>
      <c r="H385" s="10" t="str">
        <f aca="false">IF(F385&lt;0,"Negative (check entry)",IF(OR(E385="",E385=0),IF(F385=0,"No Activity","OK"),IF(F385/E385&lt;0.5,"Low Stock",IF(F385/E385&gt;3,"Overstock","OK"))))</f>
        <v>OK</v>
      </c>
      <c r="I385" s="16"/>
    </row>
    <row r="386" customFormat="false" ht="15" hidden="false" customHeight="false" outlineLevel="0" collapsed="false">
      <c r="A386" s="15" t="s">
        <v>57</v>
      </c>
      <c r="B386" s="15" t="s">
        <v>181</v>
      </c>
      <c r="C386" s="15" t="s">
        <v>131</v>
      </c>
      <c r="D386" s="15" t="n">
        <v>0</v>
      </c>
      <c r="E386" s="15" t="n">
        <v>0</v>
      </c>
      <c r="F386" s="15" t="n">
        <v>0</v>
      </c>
      <c r="G386" s="10" t="str">
        <f aca="false">IF(OR(E386="",E386=0),"n/a",IF(F386&lt;0,"n/a",ROUND(F386/E386,1)))</f>
        <v>n/a</v>
      </c>
      <c r="H386" s="10" t="str">
        <f aca="false">IF(F386&lt;0,"Negative (check entry)",IF(OR(E386="",E386=0),IF(F386=0,"No Activity","OK"),IF(F386/E386&lt;0.5,"Low Stock",IF(F386/E386&gt;3,"Overstock","OK"))))</f>
        <v>No Activity</v>
      </c>
      <c r="I386" s="16"/>
    </row>
    <row r="387" customFormat="false" ht="15" hidden="false" customHeight="false" outlineLevel="0" collapsed="false">
      <c r="A387" s="15" t="s">
        <v>57</v>
      </c>
      <c r="B387" s="15" t="s">
        <v>181</v>
      </c>
      <c r="C387" s="15" t="s">
        <v>86</v>
      </c>
      <c r="D387" s="15" t="n">
        <v>0</v>
      </c>
      <c r="E387" s="15" t="n">
        <v>0</v>
      </c>
      <c r="F387" s="15" t="n">
        <v>0</v>
      </c>
      <c r="G387" s="10" t="str">
        <f aca="false">IF(OR(E387="",E387=0),"n/a",IF(F387&lt;0,"n/a",ROUND(F387/E387,1)))</f>
        <v>n/a</v>
      </c>
      <c r="H387" s="10" t="str">
        <f aca="false">IF(F387&lt;0,"Negative (check entry)",IF(OR(E387="",E387=0),IF(F387=0,"No Activity","OK"),IF(F387/E387&lt;0.5,"Low Stock",IF(F387/E387&gt;3,"Overstock","OK"))))</f>
        <v>No Activity</v>
      </c>
      <c r="I387" s="16"/>
    </row>
    <row r="388" customFormat="false" ht="15" hidden="false" customHeight="false" outlineLevel="0" collapsed="false">
      <c r="A388" s="15" t="s">
        <v>57</v>
      </c>
      <c r="B388" s="15" t="s">
        <v>181</v>
      </c>
      <c r="C388" s="15" t="s">
        <v>73</v>
      </c>
      <c r="D388" s="15" t="n">
        <v>0</v>
      </c>
      <c r="E388" s="15" t="n">
        <v>0</v>
      </c>
      <c r="F388" s="15" t="n">
        <v>0</v>
      </c>
      <c r="G388" s="10" t="str">
        <f aca="false">IF(OR(E388="",E388=0),"n/a",IF(F388&lt;0,"n/a",ROUND(F388/E388,1)))</f>
        <v>n/a</v>
      </c>
      <c r="H388" s="10" t="str">
        <f aca="false">IF(F388&lt;0,"Negative (check entry)",IF(OR(E388="",E388=0),IF(F388=0,"No Activity","OK"),IF(F388/E388&lt;0.5,"Low Stock",IF(F388/E388&gt;3,"Overstock","OK"))))</f>
        <v>No Activity</v>
      </c>
      <c r="I388" s="16"/>
    </row>
    <row r="389" customFormat="false" ht="15" hidden="false" customHeight="false" outlineLevel="0" collapsed="false">
      <c r="A389" s="15" t="s">
        <v>57</v>
      </c>
      <c r="B389" s="15" t="s">
        <v>181</v>
      </c>
      <c r="C389" s="15" t="s">
        <v>52</v>
      </c>
      <c r="D389" s="15" t="n">
        <v>0</v>
      </c>
      <c r="E389" s="15" t="n">
        <v>0</v>
      </c>
      <c r="F389" s="15" t="n">
        <v>0</v>
      </c>
      <c r="G389" s="10" t="str">
        <f aca="false">IF(OR(E389="",E389=0),"n/a",IF(F389&lt;0,"n/a",ROUND(F389/E389,1)))</f>
        <v>n/a</v>
      </c>
      <c r="H389" s="10" t="str">
        <f aca="false">IF(F389&lt;0,"Negative (check entry)",IF(OR(E389="",E389=0),IF(F389=0,"No Activity","OK"),IF(F389/E389&lt;0.5,"Low Stock",IF(F389/E389&gt;3,"Overstock","OK"))))</f>
        <v>No Activity</v>
      </c>
      <c r="I389" s="16"/>
    </row>
    <row r="390" customFormat="false" ht="15" hidden="false" customHeight="false" outlineLevel="0" collapsed="false">
      <c r="A390" s="15" t="s">
        <v>57</v>
      </c>
      <c r="B390" s="15" t="s">
        <v>181</v>
      </c>
      <c r="C390" s="15" t="s">
        <v>60</v>
      </c>
      <c r="D390" s="15" t="n">
        <v>0</v>
      </c>
      <c r="E390" s="15" t="n">
        <v>0</v>
      </c>
      <c r="F390" s="15" t="n">
        <v>0</v>
      </c>
      <c r="G390" s="10" t="str">
        <f aca="false">IF(OR(E390="",E390=0),"n/a",IF(F390&lt;0,"n/a",ROUND(F390/E390,1)))</f>
        <v>n/a</v>
      </c>
      <c r="H390" s="10" t="str">
        <f aca="false">IF(F390&lt;0,"Negative (check entry)",IF(OR(E390="",E390=0),IF(F390=0,"No Activity","OK"),IF(F390/E390&lt;0.5,"Low Stock",IF(F390/E390&gt;3,"Overstock","OK"))))</f>
        <v>No Activity</v>
      </c>
      <c r="I390" s="16"/>
    </row>
    <row r="391" customFormat="false" ht="15" hidden="false" customHeight="false" outlineLevel="0" collapsed="false">
      <c r="A391" s="15" t="s">
        <v>57</v>
      </c>
      <c r="B391" s="15" t="s">
        <v>181</v>
      </c>
      <c r="C391" s="15" t="s">
        <v>41</v>
      </c>
      <c r="D391" s="15" t="n">
        <v>0</v>
      </c>
      <c r="E391" s="15" t="n">
        <v>0</v>
      </c>
      <c r="F391" s="15" t="n">
        <v>0</v>
      </c>
      <c r="G391" s="10" t="str">
        <f aca="false">IF(OR(E391="",E391=0),"n/a",IF(F391&lt;0,"n/a",ROUND(F391/E391,1)))</f>
        <v>n/a</v>
      </c>
      <c r="H391" s="10" t="str">
        <f aca="false">IF(F391&lt;0,"Negative (check entry)",IF(OR(E391="",E391=0),IF(F391=0,"No Activity","OK"),IF(F391/E391&lt;0.5,"Low Stock",IF(F391/E391&gt;3,"Overstock","OK"))))</f>
        <v>No Activity</v>
      </c>
      <c r="I391" s="16"/>
    </row>
    <row r="392" customFormat="false" ht="15" hidden="false" customHeight="false" outlineLevel="0" collapsed="false">
      <c r="A392" s="15" t="s">
        <v>57</v>
      </c>
      <c r="B392" s="15" t="s">
        <v>181</v>
      </c>
      <c r="C392" s="15" t="s">
        <v>127</v>
      </c>
      <c r="D392" s="15" t="n">
        <v>0</v>
      </c>
      <c r="E392" s="15" t="n">
        <v>0</v>
      </c>
      <c r="F392" s="15" t="n">
        <v>0</v>
      </c>
      <c r="G392" s="10" t="str">
        <f aca="false">IF(OR(E392="",E392=0),"n/a",IF(F392&lt;0,"n/a",ROUND(F392/E392,1)))</f>
        <v>n/a</v>
      </c>
      <c r="H392" s="10" t="str">
        <f aca="false">IF(F392&lt;0,"Negative (check entry)",IF(OR(E392="",E392=0),IF(F392=0,"No Activity","OK"),IF(F392/E392&lt;0.5,"Low Stock",IF(F392/E392&gt;3,"Overstock","OK"))))</f>
        <v>No Activity</v>
      </c>
      <c r="I392" s="16"/>
    </row>
    <row r="393" customFormat="false" ht="15" hidden="false" customHeight="false" outlineLevel="0" collapsed="false">
      <c r="A393" s="15" t="s">
        <v>57</v>
      </c>
      <c r="B393" s="15" t="s">
        <v>58</v>
      </c>
      <c r="C393" s="15" t="s">
        <v>182</v>
      </c>
      <c r="D393" s="15" t="n">
        <v>0</v>
      </c>
      <c r="E393" s="15" t="n">
        <v>0</v>
      </c>
      <c r="F393" s="15" t="n">
        <v>0</v>
      </c>
      <c r="G393" s="10" t="str">
        <f aca="false">IF(OR(E393="",E393=0),"n/a",IF(F393&lt;0,"n/a",ROUND(F393/E393,1)))</f>
        <v>n/a</v>
      </c>
      <c r="H393" s="10" t="str">
        <f aca="false">IF(F393&lt;0,"Negative (check entry)",IF(OR(E393="",E393=0),IF(F393=0,"No Activity","OK"),IF(F393/E393&lt;0.5,"Low Stock",IF(F393/E393&gt;3,"Overstock","OK"))))</f>
        <v>No Activity</v>
      </c>
      <c r="I393" s="16"/>
    </row>
    <row r="394" customFormat="false" ht="15" hidden="false" customHeight="false" outlineLevel="0" collapsed="false">
      <c r="A394" s="15" t="s">
        <v>57</v>
      </c>
      <c r="B394" s="15" t="s">
        <v>58</v>
      </c>
      <c r="C394" s="15" t="s">
        <v>38</v>
      </c>
      <c r="D394" s="15" t="n">
        <v>0</v>
      </c>
      <c r="E394" s="15" t="n">
        <v>100</v>
      </c>
      <c r="F394" s="15" t="n">
        <v>-100</v>
      </c>
      <c r="G394" s="10" t="str">
        <f aca="false">IF(OR(E394="",E394=0),"n/a",IF(F394&lt;0,"n/a",ROUND(F394/E394,1)))</f>
        <v>n/a</v>
      </c>
      <c r="H394" s="10" t="str">
        <f aca="false">IF(F394&lt;0,"Negative (check entry)",IF(OR(E394="",E394=0),IF(F394=0,"No Activity","OK"),IF(F394/E394&lt;0.5,"Low Stock",IF(F394/E394&gt;3,"Overstock","OK"))))</f>
        <v>Negative (check entry)</v>
      </c>
      <c r="I394" s="16"/>
    </row>
    <row r="395" customFormat="false" ht="15" hidden="false" customHeight="false" outlineLevel="0" collapsed="false">
      <c r="A395" s="15" t="s">
        <v>57</v>
      </c>
      <c r="B395" s="15" t="s">
        <v>58</v>
      </c>
      <c r="C395" s="15" t="s">
        <v>59</v>
      </c>
      <c r="D395" s="15" t="n">
        <v>0</v>
      </c>
      <c r="E395" s="15" t="n">
        <v>0</v>
      </c>
      <c r="F395" s="15" t="n">
        <v>0</v>
      </c>
      <c r="G395" s="10" t="str">
        <f aca="false">IF(OR(E395="",E395=0),"n/a",IF(F395&lt;0,"n/a",ROUND(F395/E395,1)))</f>
        <v>n/a</v>
      </c>
      <c r="H395" s="10" t="str">
        <f aca="false">IF(F395&lt;0,"Negative (check entry)",IF(OR(E395="",E395=0),IF(F395=0,"No Activity","OK"),IF(F395/E395&lt;0.5,"Low Stock",IF(F395/E395&gt;3,"Overstock","OK"))))</f>
        <v>No Activity</v>
      </c>
      <c r="I395" s="16"/>
    </row>
    <row r="396" customFormat="false" ht="15" hidden="false" customHeight="false" outlineLevel="0" collapsed="false">
      <c r="A396" s="15" t="s">
        <v>57</v>
      </c>
      <c r="B396" s="15" t="s">
        <v>58</v>
      </c>
      <c r="C396" s="15" t="s">
        <v>120</v>
      </c>
      <c r="D396" s="15" t="n">
        <v>0</v>
      </c>
      <c r="E396" s="15" t="n">
        <v>0</v>
      </c>
      <c r="F396" s="15" t="n">
        <v>0</v>
      </c>
      <c r="G396" s="10" t="str">
        <f aca="false">IF(OR(E396="",E396=0),"n/a",IF(F396&lt;0,"n/a",ROUND(F396/E396,1)))</f>
        <v>n/a</v>
      </c>
      <c r="H396" s="10" t="str">
        <f aca="false">IF(F396&lt;0,"Negative (check entry)",IF(OR(E396="",E396=0),IF(F396=0,"No Activity","OK"),IF(F396/E396&lt;0.5,"Low Stock",IF(F396/E396&gt;3,"Overstock","OK"))))</f>
        <v>No Activity</v>
      </c>
      <c r="I396" s="16"/>
    </row>
    <row r="397" customFormat="false" ht="15" hidden="false" customHeight="false" outlineLevel="0" collapsed="false">
      <c r="A397" s="15" t="s">
        <v>57</v>
      </c>
      <c r="B397" s="15" t="s">
        <v>58</v>
      </c>
      <c r="C397" s="15" t="s">
        <v>42</v>
      </c>
      <c r="D397" s="15" t="n">
        <v>0</v>
      </c>
      <c r="E397" s="15" t="n">
        <v>0</v>
      </c>
      <c r="F397" s="15" t="n">
        <v>0</v>
      </c>
      <c r="G397" s="10" t="str">
        <f aca="false">IF(OR(E397="",E397=0),"n/a",IF(F397&lt;0,"n/a",ROUND(F397/E397,1)))</f>
        <v>n/a</v>
      </c>
      <c r="H397" s="10" t="str">
        <f aca="false">IF(F397&lt;0,"Negative (check entry)",IF(OR(E397="",E397=0),IF(F397=0,"No Activity","OK"),IF(F397/E397&lt;0.5,"Low Stock",IF(F397/E397&gt;3,"Overstock","OK"))))</f>
        <v>No Activity</v>
      </c>
      <c r="I397" s="16"/>
    </row>
    <row r="398" customFormat="false" ht="15" hidden="false" customHeight="false" outlineLevel="0" collapsed="false">
      <c r="A398" s="15" t="s">
        <v>57</v>
      </c>
      <c r="B398" s="15" t="s">
        <v>58</v>
      </c>
      <c r="C398" s="15" t="s">
        <v>128</v>
      </c>
      <c r="D398" s="15" t="n">
        <v>0</v>
      </c>
      <c r="E398" s="15" t="n">
        <v>0</v>
      </c>
      <c r="F398" s="15" t="n">
        <v>0</v>
      </c>
      <c r="G398" s="10" t="str">
        <f aca="false">IF(OR(E398="",E398=0),"n/a",IF(F398&lt;0,"n/a",ROUND(F398/E398,1)))</f>
        <v>n/a</v>
      </c>
      <c r="H398" s="10" t="str">
        <f aca="false">IF(F398&lt;0,"Negative (check entry)",IF(OR(E398="",E398=0),IF(F398=0,"No Activity","OK"),IF(F398/E398&lt;0.5,"Low Stock",IF(F398/E398&gt;3,"Overstock","OK"))))</f>
        <v>No Activity</v>
      </c>
      <c r="I398" s="16"/>
    </row>
    <row r="399" customFormat="false" ht="15" hidden="false" customHeight="false" outlineLevel="0" collapsed="false">
      <c r="A399" s="15" t="s">
        <v>57</v>
      </c>
      <c r="B399" s="15" t="s">
        <v>58</v>
      </c>
      <c r="C399" s="15" t="s">
        <v>100</v>
      </c>
      <c r="D399" s="15" t="n">
        <v>0</v>
      </c>
      <c r="E399" s="15" t="n">
        <v>0</v>
      </c>
      <c r="F399" s="15" t="n">
        <v>0</v>
      </c>
      <c r="G399" s="10" t="str">
        <f aca="false">IF(OR(E399="",E399=0),"n/a",IF(F399&lt;0,"n/a",ROUND(F399/E399,1)))</f>
        <v>n/a</v>
      </c>
      <c r="H399" s="10" t="str">
        <f aca="false">IF(F399&lt;0,"Negative (check entry)",IF(OR(E399="",E399=0),IF(F399=0,"No Activity","OK"),IF(F399/E399&lt;0.5,"Low Stock",IF(F399/E399&gt;3,"Overstock","OK"))))</f>
        <v>No Activity</v>
      </c>
      <c r="I399" s="16"/>
    </row>
    <row r="400" customFormat="false" ht="15" hidden="false" customHeight="false" outlineLevel="0" collapsed="false">
      <c r="A400" s="15" t="s">
        <v>57</v>
      </c>
      <c r="B400" s="15" t="s">
        <v>58</v>
      </c>
      <c r="C400" s="15" t="s">
        <v>178</v>
      </c>
      <c r="D400" s="15" t="n">
        <v>0</v>
      </c>
      <c r="E400" s="15" t="n">
        <v>0</v>
      </c>
      <c r="F400" s="15" t="n">
        <v>0</v>
      </c>
      <c r="G400" s="10" t="str">
        <f aca="false">IF(OR(E400="",E400=0),"n/a",IF(F400&lt;0,"n/a",ROUND(F400/E400,1)))</f>
        <v>n/a</v>
      </c>
      <c r="H400" s="10" t="str">
        <f aca="false">IF(F400&lt;0,"Negative (check entry)",IF(OR(E400="",E400=0),IF(F400=0,"No Activity","OK"),IF(F400/E400&lt;0.5,"Low Stock",IF(F400/E400&gt;3,"Overstock","OK"))))</f>
        <v>No Activity</v>
      </c>
      <c r="I400" s="16"/>
    </row>
    <row r="401" customFormat="false" ht="15" hidden="false" customHeight="false" outlineLevel="0" collapsed="false">
      <c r="A401" s="15" t="s">
        <v>57</v>
      </c>
      <c r="B401" s="15" t="s">
        <v>58</v>
      </c>
      <c r="C401" s="15" t="s">
        <v>228</v>
      </c>
      <c r="D401" s="15" t="n">
        <v>3760</v>
      </c>
      <c r="E401" s="15" t="n">
        <v>1340</v>
      </c>
      <c r="F401" s="15" t="n">
        <v>2420</v>
      </c>
      <c r="G401" s="10" t="n">
        <f aca="false">IF(OR(E401="",E401=0),"n/a",IF(F401&lt;0,"n/a",ROUND(F401/E401,1)))</f>
        <v>1.8</v>
      </c>
      <c r="H401" s="10" t="str">
        <f aca="false">IF(F401&lt;0,"Negative (check entry)",IF(OR(E401="",E401=0),IF(F401=0,"No Activity","OK"),IF(F401/E401&lt;0.5,"Low Stock",IF(F401/E401&gt;3,"Overstock","OK"))))</f>
        <v>OK</v>
      </c>
      <c r="I401" s="16"/>
    </row>
    <row r="402" customFormat="false" ht="15" hidden="false" customHeight="false" outlineLevel="0" collapsed="false">
      <c r="A402" s="15" t="s">
        <v>57</v>
      </c>
      <c r="B402" s="15" t="s">
        <v>58</v>
      </c>
      <c r="C402" s="15" t="s">
        <v>236</v>
      </c>
      <c r="D402" s="15" t="n">
        <v>0</v>
      </c>
      <c r="E402" s="15" t="n">
        <v>0</v>
      </c>
      <c r="F402" s="15" t="n">
        <v>0</v>
      </c>
      <c r="G402" s="10" t="str">
        <f aca="false">IF(OR(E402="",E402=0),"n/a",IF(F402&lt;0,"n/a",ROUND(F402/E402,1)))</f>
        <v>n/a</v>
      </c>
      <c r="H402" s="10" t="str">
        <f aca="false">IF(F402&lt;0,"Negative (check entry)",IF(OR(E402="",E402=0),IF(F402=0,"No Activity","OK"),IF(F402/E402&lt;0.5,"Low Stock",IF(F402/E402&gt;3,"Overstock","OK"))))</f>
        <v>No Activity</v>
      </c>
      <c r="I402" s="16"/>
    </row>
    <row r="403" customFormat="false" ht="15" hidden="false" customHeight="false" outlineLevel="0" collapsed="false">
      <c r="A403" s="15" t="s">
        <v>57</v>
      </c>
      <c r="B403" s="15" t="s">
        <v>58</v>
      </c>
      <c r="C403" s="15" t="s">
        <v>101</v>
      </c>
      <c r="D403" s="15" t="n">
        <v>3760</v>
      </c>
      <c r="E403" s="15" t="n">
        <v>1440</v>
      </c>
      <c r="F403" s="15" t="n">
        <v>2320</v>
      </c>
      <c r="G403" s="10" t="n">
        <f aca="false">IF(OR(E403="",E403=0),"n/a",IF(F403&lt;0,"n/a",ROUND(F403/E403,1)))</f>
        <v>1.6</v>
      </c>
      <c r="H403" s="10" t="str">
        <f aca="false">IF(F403&lt;0,"Negative (check entry)",IF(OR(E403="",E403=0),IF(F403=0,"No Activity","OK"),IF(F403/E403&lt;0.5,"Low Stock",IF(F403/E403&gt;3,"Overstock","OK"))))</f>
        <v>OK</v>
      </c>
      <c r="I403" s="16"/>
    </row>
    <row r="404" customFormat="false" ht="15" hidden="false" customHeight="false" outlineLevel="0" collapsed="false">
      <c r="A404" s="15" t="s">
        <v>57</v>
      </c>
      <c r="B404" s="15" t="s">
        <v>58</v>
      </c>
      <c r="C404" s="15" t="s">
        <v>47</v>
      </c>
      <c r="D404" s="15" t="n">
        <v>0</v>
      </c>
      <c r="E404" s="15" t="n">
        <v>0</v>
      </c>
      <c r="F404" s="15" t="n">
        <v>0</v>
      </c>
      <c r="G404" s="10" t="str">
        <f aca="false">IF(OR(E404="",E404=0),"n/a",IF(F404&lt;0,"n/a",ROUND(F404/E404,1)))</f>
        <v>n/a</v>
      </c>
      <c r="H404" s="10" t="str">
        <f aca="false">IF(F404&lt;0,"Negative (check entry)",IF(OR(E404="",E404=0),IF(F404=0,"No Activity","OK"),IF(F404/E404&lt;0.5,"Low Stock",IF(F404/E404&gt;3,"Overstock","OK"))))</f>
        <v>No Activity</v>
      </c>
      <c r="I404" s="16"/>
    </row>
    <row r="405" customFormat="false" ht="15" hidden="false" customHeight="false" outlineLevel="0" collapsed="false">
      <c r="A405" s="15" t="s">
        <v>57</v>
      </c>
      <c r="B405" s="15" t="s">
        <v>58</v>
      </c>
      <c r="C405" s="15" t="s">
        <v>102</v>
      </c>
      <c r="D405" s="15" t="n">
        <v>3760</v>
      </c>
      <c r="E405" s="15" t="n">
        <v>1440</v>
      </c>
      <c r="F405" s="15" t="n">
        <v>2320</v>
      </c>
      <c r="G405" s="10" t="n">
        <f aca="false">IF(OR(E405="",E405=0),"n/a",IF(F405&lt;0,"n/a",ROUND(F405/E405,1)))</f>
        <v>1.6</v>
      </c>
      <c r="H405" s="10" t="str">
        <f aca="false">IF(F405&lt;0,"Negative (check entry)",IF(OR(E405="",E405=0),IF(F405=0,"No Activity","OK"),IF(F405/E405&lt;0.5,"Low Stock",IF(F405/E405&gt;3,"Overstock","OK"))))</f>
        <v>OK</v>
      </c>
      <c r="I405" s="16"/>
    </row>
    <row r="406" customFormat="false" ht="15" hidden="false" customHeight="false" outlineLevel="0" collapsed="false">
      <c r="A406" s="15" t="s">
        <v>57</v>
      </c>
      <c r="B406" s="15" t="s">
        <v>58</v>
      </c>
      <c r="C406" s="15" t="s">
        <v>172</v>
      </c>
      <c r="D406" s="15" t="n">
        <v>0</v>
      </c>
      <c r="E406" s="15" t="n">
        <v>0</v>
      </c>
      <c r="F406" s="15" t="n">
        <v>0</v>
      </c>
      <c r="G406" s="10" t="str">
        <f aca="false">IF(OR(E406="",E406=0),"n/a",IF(F406&lt;0,"n/a",ROUND(F406/E406,1)))</f>
        <v>n/a</v>
      </c>
      <c r="H406" s="10" t="str">
        <f aca="false">IF(F406&lt;0,"Negative (check entry)",IF(OR(E406="",E406=0),IF(F406=0,"No Activity","OK"),IF(F406/E406&lt;0.5,"Low Stock",IF(F406/E406&gt;3,"Overstock","OK"))))</f>
        <v>No Activity</v>
      </c>
      <c r="I406" s="16"/>
    </row>
    <row r="407" customFormat="false" ht="15" hidden="false" customHeight="false" outlineLevel="0" collapsed="false">
      <c r="A407" s="15" t="s">
        <v>57</v>
      </c>
      <c r="B407" s="15" t="s">
        <v>58</v>
      </c>
      <c r="C407" s="15" t="s">
        <v>104</v>
      </c>
      <c r="D407" s="15" t="n">
        <v>3760</v>
      </c>
      <c r="E407" s="15" t="n">
        <v>1440</v>
      </c>
      <c r="F407" s="15" t="n">
        <v>2320</v>
      </c>
      <c r="G407" s="10" t="n">
        <f aca="false">IF(OR(E407="",E407=0),"n/a",IF(F407&lt;0,"n/a",ROUND(F407/E407,1)))</f>
        <v>1.6</v>
      </c>
      <c r="H407" s="10" t="str">
        <f aca="false">IF(F407&lt;0,"Negative (check entry)",IF(OR(E407="",E407=0),IF(F407=0,"No Activity","OK"),IF(F407/E407&lt;0.5,"Low Stock",IF(F407/E407&gt;3,"Overstock","OK"))))</f>
        <v>OK</v>
      </c>
      <c r="I407" s="16"/>
    </row>
    <row r="408" customFormat="false" ht="15" hidden="false" customHeight="false" outlineLevel="0" collapsed="false">
      <c r="A408" s="15" t="s">
        <v>237</v>
      </c>
      <c r="B408" s="15" t="s">
        <v>238</v>
      </c>
      <c r="C408" s="15" t="s">
        <v>73</v>
      </c>
      <c r="D408" s="15" t="n">
        <v>640</v>
      </c>
      <c r="E408" s="15" t="n">
        <v>80</v>
      </c>
      <c r="F408" s="15" t="n">
        <v>560</v>
      </c>
      <c r="G408" s="10" t="n">
        <f aca="false">IF(OR(E408="",E408=0),"n/a",IF(F408&lt;0,"n/a",ROUND(F408/E408,1)))</f>
        <v>7</v>
      </c>
      <c r="H408" s="10" t="str">
        <f aca="false">IF(F408&lt;0,"Negative (check entry)",IF(OR(E408="",E408=0),IF(F408=0,"No Activity","OK"),IF(F408/E408&lt;0.5,"Low Stock",IF(F408/E408&gt;3,"Overstock","OK"))))</f>
        <v>Overstock</v>
      </c>
      <c r="I408" s="16"/>
    </row>
    <row r="409" customFormat="false" ht="15" hidden="false" customHeight="false" outlineLevel="0" collapsed="false">
      <c r="A409" s="15" t="s">
        <v>237</v>
      </c>
      <c r="B409" s="15" t="s">
        <v>238</v>
      </c>
      <c r="C409" s="15" t="s">
        <v>108</v>
      </c>
      <c r="D409" s="15" t="n">
        <v>0</v>
      </c>
      <c r="E409" s="15" t="n">
        <v>0</v>
      </c>
      <c r="F409" s="15" t="n">
        <v>0</v>
      </c>
      <c r="G409" s="10" t="str">
        <f aca="false">IF(OR(E409="",E409=0),"n/a",IF(F409&lt;0,"n/a",ROUND(F409/E409,1)))</f>
        <v>n/a</v>
      </c>
      <c r="H409" s="10" t="str">
        <f aca="false">IF(F409&lt;0,"Negative (check entry)",IF(OR(E409="",E409=0),IF(F409=0,"No Activity","OK"),IF(F409/E409&lt;0.5,"Low Stock",IF(F409/E409&gt;3,"Overstock","OK"))))</f>
        <v>No Activity</v>
      </c>
      <c r="I409" s="16"/>
    </row>
    <row r="410" customFormat="false" ht="15" hidden="false" customHeight="false" outlineLevel="0" collapsed="false">
      <c r="A410" s="15" t="s">
        <v>237</v>
      </c>
      <c r="B410" s="15" t="s">
        <v>238</v>
      </c>
      <c r="C410" s="15" t="s">
        <v>239</v>
      </c>
      <c r="D410" s="15" t="n">
        <v>0</v>
      </c>
      <c r="E410" s="15" t="n">
        <v>0</v>
      </c>
      <c r="F410" s="15" t="n">
        <v>0</v>
      </c>
      <c r="G410" s="10" t="str">
        <f aca="false">IF(OR(E410="",E410=0),"n/a",IF(F410&lt;0,"n/a",ROUND(F410/E410,1)))</f>
        <v>n/a</v>
      </c>
      <c r="H410" s="10" t="str">
        <f aca="false">IF(F410&lt;0,"Negative (check entry)",IF(OR(E410="",E410=0),IF(F410=0,"No Activity","OK"),IF(F410/E410&lt;0.5,"Low Stock",IF(F410/E410&gt;3,"Overstock","OK"))))</f>
        <v>No Activity</v>
      </c>
      <c r="I410" s="16"/>
    </row>
    <row r="411" customFormat="false" ht="15" hidden="false" customHeight="false" outlineLevel="0" collapsed="false">
      <c r="A411" s="15" t="s">
        <v>237</v>
      </c>
      <c r="B411" s="15" t="s">
        <v>238</v>
      </c>
      <c r="C411" s="15" t="s">
        <v>240</v>
      </c>
      <c r="D411" s="15" t="n">
        <v>0</v>
      </c>
      <c r="E411" s="15" t="n">
        <v>0</v>
      </c>
      <c r="F411" s="15" t="n">
        <v>0</v>
      </c>
      <c r="G411" s="10" t="str">
        <f aca="false">IF(OR(E411="",E411=0),"n/a",IF(F411&lt;0,"n/a",ROUND(F411/E411,1)))</f>
        <v>n/a</v>
      </c>
      <c r="H411" s="10" t="str">
        <f aca="false">IF(F411&lt;0,"Negative (check entry)",IF(OR(E411="",E411=0),IF(F411=0,"No Activity","OK"),IF(F411/E411&lt;0.5,"Low Stock",IF(F411/E411&gt;3,"Overstock","OK"))))</f>
        <v>No Activity</v>
      </c>
      <c r="I411" s="16"/>
    </row>
    <row r="412" customFormat="false" ht="15" hidden="false" customHeight="false" outlineLevel="0" collapsed="false">
      <c r="A412" s="15" t="s">
        <v>237</v>
      </c>
      <c r="B412" s="15" t="s">
        <v>238</v>
      </c>
      <c r="C412" s="15" t="s">
        <v>134</v>
      </c>
      <c r="D412" s="15" t="n">
        <v>0</v>
      </c>
      <c r="E412" s="15" t="n">
        <v>0</v>
      </c>
      <c r="F412" s="15" t="n">
        <v>0</v>
      </c>
      <c r="G412" s="10" t="str">
        <f aca="false">IF(OR(E412="",E412=0),"n/a",IF(F412&lt;0,"n/a",ROUND(F412/E412,1)))</f>
        <v>n/a</v>
      </c>
      <c r="H412" s="10" t="str">
        <f aca="false">IF(F412&lt;0,"Negative (check entry)",IF(OR(E412="",E412=0),IF(F412=0,"No Activity","OK"),IF(F412/E412&lt;0.5,"Low Stock",IF(F412/E412&gt;3,"Overstock","OK"))))</f>
        <v>No Activity</v>
      </c>
      <c r="I412" s="16"/>
    </row>
    <row r="413" customFormat="false" ht="15" hidden="false" customHeight="false" outlineLevel="0" collapsed="false">
      <c r="A413" s="15" t="s">
        <v>237</v>
      </c>
      <c r="B413" s="15" t="s">
        <v>238</v>
      </c>
      <c r="C413" s="15" t="s">
        <v>86</v>
      </c>
      <c r="D413" s="15" t="n">
        <v>0</v>
      </c>
      <c r="E413" s="15" t="n">
        <v>0</v>
      </c>
      <c r="F413" s="15" t="n">
        <v>0</v>
      </c>
      <c r="G413" s="10" t="str">
        <f aca="false">IF(OR(E413="",E413=0),"n/a",IF(F413&lt;0,"n/a",ROUND(F413/E413,1)))</f>
        <v>n/a</v>
      </c>
      <c r="H413" s="10" t="str">
        <f aca="false">IF(F413&lt;0,"Negative (check entry)",IF(OR(E413="",E413=0),IF(F413=0,"No Activity","OK"),IF(F413/E413&lt;0.5,"Low Stock",IF(F413/E413&gt;3,"Overstock","OK"))))</f>
        <v>No Activity</v>
      </c>
      <c r="I413" s="16"/>
    </row>
    <row r="414" customFormat="false" ht="15" hidden="false" customHeight="false" outlineLevel="0" collapsed="false">
      <c r="A414" s="15" t="s">
        <v>237</v>
      </c>
      <c r="B414" s="15" t="s">
        <v>238</v>
      </c>
      <c r="C414" s="15" t="s">
        <v>96</v>
      </c>
      <c r="D414" s="15" t="n">
        <v>260</v>
      </c>
      <c r="E414" s="15" t="n">
        <v>100</v>
      </c>
      <c r="F414" s="15" t="n">
        <v>160</v>
      </c>
      <c r="G414" s="10" t="n">
        <f aca="false">IF(OR(E414="",E414=0),"n/a",IF(F414&lt;0,"n/a",ROUND(F414/E414,1)))</f>
        <v>1.6</v>
      </c>
      <c r="H414" s="10" t="str">
        <f aca="false">IF(F414&lt;0,"Negative (check entry)",IF(OR(E414="",E414=0),IF(F414=0,"No Activity","OK"),IF(F414/E414&lt;0.5,"Low Stock",IF(F414/E414&gt;3,"Overstock","OK"))))</f>
        <v>OK</v>
      </c>
      <c r="I414" s="16"/>
    </row>
    <row r="415" customFormat="false" ht="15" hidden="false" customHeight="false" outlineLevel="0" collapsed="false">
      <c r="A415" s="15" t="s">
        <v>237</v>
      </c>
      <c r="B415" s="15" t="s">
        <v>241</v>
      </c>
      <c r="C415" s="15" t="s">
        <v>42</v>
      </c>
      <c r="D415" s="15" t="n">
        <v>0</v>
      </c>
      <c r="E415" s="15" t="n">
        <v>0</v>
      </c>
      <c r="F415" s="15" t="n">
        <v>0</v>
      </c>
      <c r="G415" s="10" t="str">
        <f aca="false">IF(OR(E415="",E415=0),"n/a",IF(F415&lt;0,"n/a",ROUND(F415/E415,1)))</f>
        <v>n/a</v>
      </c>
      <c r="H415" s="10" t="str">
        <f aca="false">IF(F415&lt;0,"Negative (check entry)",IF(OR(E415="",E415=0),IF(F415=0,"No Activity","OK"),IF(F415/E415&lt;0.5,"Low Stock",IF(F415/E415&gt;3,"Overstock","OK"))))</f>
        <v>No Activity</v>
      </c>
      <c r="I415" s="16"/>
    </row>
    <row r="416" customFormat="false" ht="15" hidden="false" customHeight="false" outlineLevel="0" collapsed="false">
      <c r="A416" s="15" t="s">
        <v>237</v>
      </c>
      <c r="B416" s="15" t="s">
        <v>241</v>
      </c>
      <c r="C416" s="15" t="s">
        <v>59</v>
      </c>
      <c r="D416" s="15" t="n">
        <v>0</v>
      </c>
      <c r="E416" s="15" t="n">
        <v>0</v>
      </c>
      <c r="F416" s="15" t="n">
        <v>0</v>
      </c>
      <c r="G416" s="10" t="str">
        <f aca="false">IF(OR(E416="",E416=0),"n/a",IF(F416&lt;0,"n/a",ROUND(F416/E416,1)))</f>
        <v>n/a</v>
      </c>
      <c r="H416" s="10" t="str">
        <f aca="false">IF(F416&lt;0,"Negative (check entry)",IF(OR(E416="",E416=0),IF(F416=0,"No Activity","OK"),IF(F416/E416&lt;0.5,"Low Stock",IF(F416/E416&gt;3,"Overstock","OK"))))</f>
        <v>No Activity</v>
      </c>
      <c r="I416" s="16"/>
    </row>
    <row r="417" customFormat="false" ht="15" hidden="false" customHeight="false" outlineLevel="0" collapsed="false">
      <c r="A417" s="15" t="s">
        <v>237</v>
      </c>
      <c r="B417" s="15" t="s">
        <v>241</v>
      </c>
      <c r="C417" s="15" t="s">
        <v>177</v>
      </c>
      <c r="D417" s="15" t="n">
        <v>0</v>
      </c>
      <c r="E417" s="15" t="n">
        <v>0</v>
      </c>
      <c r="F417" s="15" t="n">
        <v>0</v>
      </c>
      <c r="G417" s="10" t="str">
        <f aca="false">IF(OR(E417="",E417=0),"n/a",IF(F417&lt;0,"n/a",ROUND(F417/E417,1)))</f>
        <v>n/a</v>
      </c>
      <c r="H417" s="10" t="str">
        <f aca="false">IF(F417&lt;0,"Negative (check entry)",IF(OR(E417="",E417=0),IF(F417=0,"No Activity","OK"),IF(F417/E417&lt;0.5,"Low Stock",IF(F417/E417&gt;3,"Overstock","OK"))))</f>
        <v>No Activity</v>
      </c>
      <c r="I417" s="16"/>
    </row>
    <row r="418" customFormat="false" ht="15" hidden="false" customHeight="false" outlineLevel="0" collapsed="false">
      <c r="A418" s="15" t="s">
        <v>237</v>
      </c>
      <c r="B418" s="15" t="s">
        <v>241</v>
      </c>
      <c r="C418" s="15" t="s">
        <v>38</v>
      </c>
      <c r="D418" s="15" t="n">
        <v>0</v>
      </c>
      <c r="E418" s="15" t="n">
        <v>0</v>
      </c>
      <c r="F418" s="15" t="n">
        <v>0</v>
      </c>
      <c r="G418" s="10" t="str">
        <f aca="false">IF(OR(E418="",E418=0),"n/a",IF(F418&lt;0,"n/a",ROUND(F418/E418,1)))</f>
        <v>n/a</v>
      </c>
      <c r="H418" s="10" t="str">
        <f aca="false">IF(F418&lt;0,"Negative (check entry)",IF(OR(E418="",E418=0),IF(F418=0,"No Activity","OK"),IF(F418/E418&lt;0.5,"Low Stock",IF(F418/E418&gt;3,"Overstock","OK"))))</f>
        <v>No Activity</v>
      </c>
      <c r="I418" s="16"/>
    </row>
    <row r="419" customFormat="false" ht="15" hidden="false" customHeight="false" outlineLevel="0" collapsed="false">
      <c r="A419" s="15" t="s">
        <v>237</v>
      </c>
      <c r="B419" s="15" t="s">
        <v>241</v>
      </c>
      <c r="C419" s="15" t="s">
        <v>242</v>
      </c>
      <c r="D419" s="15" t="n">
        <v>0</v>
      </c>
      <c r="E419" s="15" t="n">
        <v>0</v>
      </c>
      <c r="F419" s="15" t="n">
        <v>0</v>
      </c>
      <c r="G419" s="10" t="str">
        <f aca="false">IF(OR(E419="",E419=0),"n/a",IF(F419&lt;0,"n/a",ROUND(F419/E419,1)))</f>
        <v>n/a</v>
      </c>
      <c r="H419" s="10" t="str">
        <f aca="false">IF(F419&lt;0,"Negative (check entry)",IF(OR(E419="",E419=0),IF(F419=0,"No Activity","OK"),IF(F419/E419&lt;0.5,"Low Stock",IF(F419/E419&gt;3,"Overstock","OK"))))</f>
        <v>No Activity</v>
      </c>
      <c r="I419" s="16"/>
    </row>
    <row r="420" customFormat="false" ht="15" hidden="false" customHeight="false" outlineLevel="0" collapsed="false">
      <c r="A420" s="15" t="s">
        <v>237</v>
      </c>
      <c r="B420" s="15" t="s">
        <v>241</v>
      </c>
      <c r="C420" s="15" t="s">
        <v>154</v>
      </c>
      <c r="D420" s="15" t="n">
        <v>0</v>
      </c>
      <c r="E420" s="15" t="n">
        <v>0</v>
      </c>
      <c r="F420" s="15" t="n">
        <v>0</v>
      </c>
      <c r="G420" s="10" t="str">
        <f aca="false">IF(OR(E420="",E420=0),"n/a",IF(F420&lt;0,"n/a",ROUND(F420/E420,1)))</f>
        <v>n/a</v>
      </c>
      <c r="H420" s="10" t="str">
        <f aca="false">IF(F420&lt;0,"Negative (check entry)",IF(OR(E420="",E420=0),IF(F420=0,"No Activity","OK"),IF(F420/E420&lt;0.5,"Low Stock",IF(F420/E420&gt;3,"Overstock","OK"))))</f>
        <v>No Activity</v>
      </c>
      <c r="I420" s="16"/>
    </row>
    <row r="421" customFormat="false" ht="15" hidden="false" customHeight="false" outlineLevel="0" collapsed="false">
      <c r="A421" s="15" t="s">
        <v>237</v>
      </c>
      <c r="B421" s="15" t="s">
        <v>241</v>
      </c>
      <c r="C421" s="15" t="s">
        <v>52</v>
      </c>
      <c r="D421" s="15" t="n">
        <v>0</v>
      </c>
      <c r="E421" s="15" t="n">
        <v>0</v>
      </c>
      <c r="F421" s="15" t="n">
        <v>0</v>
      </c>
      <c r="G421" s="10" t="str">
        <f aca="false">IF(OR(E421="",E421=0),"n/a",IF(F421&lt;0,"n/a",ROUND(F421/E421,1)))</f>
        <v>n/a</v>
      </c>
      <c r="H421" s="10" t="str">
        <f aca="false">IF(F421&lt;0,"Negative (check entry)",IF(OR(E421="",E421=0),IF(F421=0,"No Activity","OK"),IF(F421/E421&lt;0.5,"Low Stock",IF(F421/E421&gt;3,"Overstock","OK"))))</f>
        <v>No Activity</v>
      </c>
      <c r="I421" s="16"/>
    </row>
    <row r="422" customFormat="false" ht="15" hidden="false" customHeight="false" outlineLevel="0" collapsed="false">
      <c r="A422" s="15" t="s">
        <v>237</v>
      </c>
      <c r="B422" s="15" t="s">
        <v>241</v>
      </c>
      <c r="C422" s="15" t="s">
        <v>196</v>
      </c>
      <c r="D422" s="15" t="n">
        <v>0</v>
      </c>
      <c r="E422" s="15" t="n">
        <v>0</v>
      </c>
      <c r="F422" s="15" t="n">
        <v>0</v>
      </c>
      <c r="G422" s="10" t="str">
        <f aca="false">IF(OR(E422="",E422=0),"n/a",IF(F422&lt;0,"n/a",ROUND(F422/E422,1)))</f>
        <v>n/a</v>
      </c>
      <c r="H422" s="10" t="str">
        <f aca="false">IF(F422&lt;0,"Negative (check entry)",IF(OR(E422="",E422=0),IF(F422=0,"No Activity","OK"),IF(F422/E422&lt;0.5,"Low Stock",IF(F422/E422&gt;3,"Overstock","OK"))))</f>
        <v>No Activity</v>
      </c>
      <c r="I422" s="16"/>
    </row>
    <row r="423" customFormat="false" ht="15" hidden="false" customHeight="false" outlineLevel="0" collapsed="false">
      <c r="A423" s="15" t="s">
        <v>237</v>
      </c>
      <c r="B423" s="15" t="s">
        <v>243</v>
      </c>
      <c r="C423" s="15" t="s">
        <v>244</v>
      </c>
      <c r="D423" s="15" t="n">
        <v>0</v>
      </c>
      <c r="E423" s="15" t="n">
        <v>0</v>
      </c>
      <c r="F423" s="15" t="n">
        <v>0</v>
      </c>
      <c r="G423" s="10" t="str">
        <f aca="false">IF(OR(E423="",E423=0),"n/a",IF(F423&lt;0,"n/a",ROUND(F423/E423,1)))</f>
        <v>n/a</v>
      </c>
      <c r="H423" s="10" t="str">
        <f aca="false">IF(F423&lt;0,"Negative (check entry)",IF(OR(E423="",E423=0),IF(F423=0,"No Activity","OK"),IF(F423/E423&lt;0.5,"Low Stock",IF(F423/E423&gt;3,"Overstock","OK"))))</f>
        <v>No Activity</v>
      </c>
      <c r="I423" s="16"/>
    </row>
    <row r="424" customFormat="false" ht="15" hidden="false" customHeight="false" outlineLevel="0" collapsed="false">
      <c r="A424" s="15" t="s">
        <v>237</v>
      </c>
      <c r="B424" s="15" t="s">
        <v>243</v>
      </c>
      <c r="C424" s="15" t="s">
        <v>245</v>
      </c>
      <c r="D424" s="15" t="n">
        <v>0</v>
      </c>
      <c r="E424" s="15" t="n">
        <v>0</v>
      </c>
      <c r="F424" s="15" t="n">
        <v>0</v>
      </c>
      <c r="G424" s="10" t="str">
        <f aca="false">IF(OR(E424="",E424=0),"n/a",IF(F424&lt;0,"n/a",ROUND(F424/E424,1)))</f>
        <v>n/a</v>
      </c>
      <c r="H424" s="10" t="str">
        <f aca="false">IF(F424&lt;0,"Negative (check entry)",IF(OR(E424="",E424=0),IF(F424=0,"No Activity","OK"),IF(F424/E424&lt;0.5,"Low Stock",IF(F424/E424&gt;3,"Overstock","OK"))))</f>
        <v>No Activity</v>
      </c>
      <c r="I424" s="16"/>
    </row>
    <row r="425" customFormat="false" ht="15" hidden="false" customHeight="false" outlineLevel="0" collapsed="false">
      <c r="A425" s="15" t="s">
        <v>237</v>
      </c>
      <c r="B425" s="15" t="s">
        <v>243</v>
      </c>
      <c r="C425" s="15" t="s">
        <v>101</v>
      </c>
      <c r="D425" s="15" t="n">
        <v>900</v>
      </c>
      <c r="E425" s="15" t="n">
        <v>180</v>
      </c>
      <c r="F425" s="15" t="n">
        <v>720</v>
      </c>
      <c r="G425" s="10" t="n">
        <f aca="false">IF(OR(E425="",E425=0),"n/a",IF(F425&lt;0,"n/a",ROUND(F425/E425,1)))</f>
        <v>4</v>
      </c>
      <c r="H425" s="10" t="str">
        <f aca="false">IF(F425&lt;0,"Negative (check entry)",IF(OR(E425="",E425=0),IF(F425=0,"No Activity","OK"),IF(F425/E425&lt;0.5,"Low Stock",IF(F425/E425&gt;3,"Overstock","OK"))))</f>
        <v>Overstock</v>
      </c>
      <c r="I425" s="16"/>
    </row>
    <row r="426" customFormat="false" ht="15" hidden="false" customHeight="false" outlineLevel="0" collapsed="false">
      <c r="A426" s="15" t="s">
        <v>237</v>
      </c>
      <c r="B426" s="15" t="s">
        <v>243</v>
      </c>
      <c r="C426" s="15" t="s">
        <v>47</v>
      </c>
      <c r="D426" s="15" t="n">
        <v>0</v>
      </c>
      <c r="E426" s="15" t="n">
        <v>0</v>
      </c>
      <c r="F426" s="15" t="n">
        <v>0</v>
      </c>
      <c r="G426" s="10" t="str">
        <f aca="false">IF(OR(E426="",E426=0),"n/a",IF(F426&lt;0,"n/a",ROUND(F426/E426,1)))</f>
        <v>n/a</v>
      </c>
      <c r="H426" s="10" t="str">
        <f aca="false">IF(F426&lt;0,"Negative (check entry)",IF(OR(E426="",E426=0),IF(F426=0,"No Activity","OK"),IF(F426/E426&lt;0.5,"Low Stock",IF(F426/E426&gt;3,"Overstock","OK"))))</f>
        <v>No Activity</v>
      </c>
      <c r="I426" s="16"/>
    </row>
    <row r="427" customFormat="false" ht="15" hidden="false" customHeight="false" outlineLevel="0" collapsed="false">
      <c r="A427" s="15" t="s">
        <v>237</v>
      </c>
      <c r="B427" s="15" t="s">
        <v>243</v>
      </c>
      <c r="C427" s="15" t="s">
        <v>102</v>
      </c>
      <c r="D427" s="15" t="n">
        <v>900</v>
      </c>
      <c r="E427" s="15" t="n">
        <v>180</v>
      </c>
      <c r="F427" s="15" t="n">
        <v>720</v>
      </c>
      <c r="G427" s="10" t="n">
        <f aca="false">IF(OR(E427="",E427=0),"n/a",IF(F427&lt;0,"n/a",ROUND(F427/E427,1)))</f>
        <v>4</v>
      </c>
      <c r="H427" s="10" t="str">
        <f aca="false">IF(F427&lt;0,"Negative (check entry)",IF(OR(E427="",E427=0),IF(F427=0,"No Activity","OK"),IF(F427/E427&lt;0.5,"Low Stock",IF(F427/E427&gt;3,"Overstock","OK"))))</f>
        <v>Overstock</v>
      </c>
      <c r="I427" s="16"/>
    </row>
    <row r="428" customFormat="false" ht="15" hidden="false" customHeight="false" outlineLevel="0" collapsed="false">
      <c r="A428" s="15" t="s">
        <v>237</v>
      </c>
      <c r="B428" s="15" t="s">
        <v>243</v>
      </c>
      <c r="C428" s="15" t="s">
        <v>172</v>
      </c>
      <c r="D428" s="15" t="n">
        <v>0</v>
      </c>
      <c r="E428" s="15" t="n">
        <v>0</v>
      </c>
      <c r="F428" s="15" t="n">
        <v>0</v>
      </c>
      <c r="G428" s="10" t="str">
        <f aca="false">IF(OR(E428="",E428=0),"n/a",IF(F428&lt;0,"n/a",ROUND(F428/E428,1)))</f>
        <v>n/a</v>
      </c>
      <c r="H428" s="10" t="str">
        <f aca="false">IF(F428&lt;0,"Negative (check entry)",IF(OR(E428="",E428=0),IF(F428=0,"No Activity","OK"),IF(F428/E428&lt;0.5,"Low Stock",IF(F428/E428&gt;3,"Overstock","OK"))))</f>
        <v>No Activity</v>
      </c>
      <c r="I428" s="16"/>
    </row>
    <row r="429" customFormat="false" ht="15" hidden="false" customHeight="false" outlineLevel="0" collapsed="false">
      <c r="A429" s="15" t="s">
        <v>237</v>
      </c>
      <c r="B429" s="15" t="s">
        <v>243</v>
      </c>
      <c r="C429" s="15" t="s">
        <v>104</v>
      </c>
      <c r="D429" s="15" t="n">
        <v>900</v>
      </c>
      <c r="E429" s="15" t="n">
        <v>180</v>
      </c>
      <c r="F429" s="15" t="n">
        <v>720</v>
      </c>
      <c r="G429" s="10" t="n">
        <f aca="false">IF(OR(E429="",E429=0),"n/a",IF(F429&lt;0,"n/a",ROUND(F429/E429,1)))</f>
        <v>4</v>
      </c>
      <c r="H429" s="10" t="str">
        <f aca="false">IF(F429&lt;0,"Negative (check entry)",IF(OR(E429="",E429=0),IF(F429=0,"No Activity","OK"),IF(F429/E429&lt;0.5,"Low Stock",IF(F429/E429&gt;3,"Overstock","OK"))))</f>
        <v>Overstock</v>
      </c>
      <c r="I429" s="16"/>
    </row>
    <row r="430" customFormat="false" ht="15" hidden="false" customHeight="false" outlineLevel="0" collapsed="false">
      <c r="A430" s="15" t="s">
        <v>94</v>
      </c>
      <c r="B430" s="15" t="s">
        <v>95</v>
      </c>
      <c r="C430" s="15" t="s">
        <v>73</v>
      </c>
      <c r="D430" s="15" t="n">
        <v>740</v>
      </c>
      <c r="E430" s="15" t="n">
        <v>720</v>
      </c>
      <c r="F430" s="15" t="n">
        <v>20</v>
      </c>
      <c r="G430" s="10" t="n">
        <f aca="false">IF(OR(E430="",E430=0),"n/a",IF(F430&lt;0,"n/a",ROUND(F430/E430,1)))</f>
        <v>0</v>
      </c>
      <c r="H430" s="10" t="str">
        <f aca="false">IF(F430&lt;0,"Negative (check entry)",IF(OR(E430="",E430=0),IF(F430=0,"No Activity","OK"),IF(F430/E430&lt;0.5,"Low Stock",IF(F430/E430&gt;3,"Overstock","OK"))))</f>
        <v>Low Stock</v>
      </c>
      <c r="I430" s="16"/>
    </row>
    <row r="431" customFormat="false" ht="15" hidden="false" customHeight="false" outlineLevel="0" collapsed="false">
      <c r="A431" s="15" t="s">
        <v>94</v>
      </c>
      <c r="B431" s="15" t="s">
        <v>95</v>
      </c>
      <c r="C431" s="15" t="s">
        <v>108</v>
      </c>
      <c r="D431" s="15" t="n">
        <v>1340</v>
      </c>
      <c r="E431" s="15" t="n">
        <v>980</v>
      </c>
      <c r="F431" s="15" t="n">
        <v>360</v>
      </c>
      <c r="G431" s="10" t="n">
        <f aca="false">IF(OR(E431="",E431=0),"n/a",IF(F431&lt;0,"n/a",ROUND(F431/E431,1)))</f>
        <v>0.4</v>
      </c>
      <c r="H431" s="10" t="str">
        <f aca="false">IF(F431&lt;0,"Negative (check entry)",IF(OR(E431="",E431=0),IF(F431=0,"No Activity","OK"),IF(F431/E431&lt;0.5,"Low Stock",IF(F431/E431&gt;3,"Overstock","OK"))))</f>
        <v>Low Stock</v>
      </c>
      <c r="I431" s="16"/>
    </row>
    <row r="432" customFormat="false" ht="15" hidden="false" customHeight="false" outlineLevel="0" collapsed="false">
      <c r="A432" s="15" t="s">
        <v>94</v>
      </c>
      <c r="B432" s="15" t="s">
        <v>95</v>
      </c>
      <c r="C432" s="15" t="s">
        <v>239</v>
      </c>
      <c r="D432" s="15" t="n">
        <v>4200</v>
      </c>
      <c r="E432" s="15" t="n">
        <v>1680</v>
      </c>
      <c r="F432" s="15" t="n">
        <v>2520</v>
      </c>
      <c r="G432" s="10" t="n">
        <f aca="false">IF(OR(E432="",E432=0),"n/a",IF(F432&lt;0,"n/a",ROUND(F432/E432,1)))</f>
        <v>1.5</v>
      </c>
      <c r="H432" s="10" t="str">
        <f aca="false">IF(F432&lt;0,"Negative (check entry)",IF(OR(E432="",E432=0),IF(F432=0,"No Activity","OK"),IF(F432/E432&lt;0.5,"Low Stock",IF(F432/E432&gt;3,"Overstock","OK"))))</f>
        <v>OK</v>
      </c>
      <c r="I432" s="16"/>
    </row>
    <row r="433" customFormat="false" ht="15" hidden="false" customHeight="false" outlineLevel="0" collapsed="false">
      <c r="A433" s="15" t="s">
        <v>94</v>
      </c>
      <c r="B433" s="15" t="s">
        <v>95</v>
      </c>
      <c r="C433" s="15" t="s">
        <v>240</v>
      </c>
      <c r="D433" s="15" t="n">
        <v>2240</v>
      </c>
      <c r="E433" s="15" t="n">
        <v>1420</v>
      </c>
      <c r="F433" s="15" t="n">
        <v>820</v>
      </c>
      <c r="G433" s="10" t="n">
        <f aca="false">IF(OR(E433="",E433=0),"n/a",IF(F433&lt;0,"n/a",ROUND(F433/E433,1)))</f>
        <v>0.6</v>
      </c>
      <c r="H433" s="10" t="str">
        <f aca="false">IF(F433&lt;0,"Negative (check entry)",IF(OR(E433="",E433=0),IF(F433=0,"No Activity","OK"),IF(F433/E433&lt;0.5,"Low Stock",IF(F433/E433&gt;3,"Overstock","OK"))))</f>
        <v>OK</v>
      </c>
      <c r="I433" s="16"/>
    </row>
    <row r="434" customFormat="false" ht="15" hidden="false" customHeight="false" outlineLevel="0" collapsed="false">
      <c r="A434" s="15" t="s">
        <v>94</v>
      </c>
      <c r="B434" s="15" t="s">
        <v>95</v>
      </c>
      <c r="C434" s="15" t="s">
        <v>134</v>
      </c>
      <c r="D434" s="15" t="n">
        <v>0</v>
      </c>
      <c r="E434" s="15" t="n">
        <v>0</v>
      </c>
      <c r="F434" s="15" t="n">
        <v>0</v>
      </c>
      <c r="G434" s="10" t="str">
        <f aca="false">IF(OR(E434="",E434=0),"n/a",IF(F434&lt;0,"n/a",ROUND(F434/E434,1)))</f>
        <v>n/a</v>
      </c>
      <c r="H434" s="10" t="str">
        <f aca="false">IF(F434&lt;0,"Negative (check entry)",IF(OR(E434="",E434=0),IF(F434=0,"No Activity","OK"),IF(F434/E434&lt;0.5,"Low Stock",IF(F434/E434&gt;3,"Overstock","OK"))))</f>
        <v>No Activity</v>
      </c>
      <c r="I434" s="16"/>
    </row>
    <row r="435" customFormat="false" ht="15" hidden="false" customHeight="false" outlineLevel="0" collapsed="false">
      <c r="A435" s="15" t="s">
        <v>94</v>
      </c>
      <c r="B435" s="15" t="s">
        <v>95</v>
      </c>
      <c r="C435" s="15" t="s">
        <v>86</v>
      </c>
      <c r="D435" s="15" t="n">
        <v>0</v>
      </c>
      <c r="E435" s="15" t="n">
        <v>0</v>
      </c>
      <c r="F435" s="15" t="n">
        <v>0</v>
      </c>
      <c r="G435" s="10" t="str">
        <f aca="false">IF(OR(E435="",E435=0),"n/a",IF(F435&lt;0,"n/a",ROUND(F435/E435,1)))</f>
        <v>n/a</v>
      </c>
      <c r="H435" s="10" t="str">
        <f aca="false">IF(F435&lt;0,"Negative (check entry)",IF(OR(E435="",E435=0),IF(F435=0,"No Activity","OK"),IF(F435/E435&lt;0.5,"Low Stock",IF(F435/E435&gt;3,"Overstock","OK"))))</f>
        <v>No Activity</v>
      </c>
      <c r="I435" s="16"/>
    </row>
    <row r="436" customFormat="false" ht="15" hidden="false" customHeight="false" outlineLevel="0" collapsed="false">
      <c r="A436" s="15" t="s">
        <v>94</v>
      </c>
      <c r="B436" s="15" t="s">
        <v>95</v>
      </c>
      <c r="C436" s="15" t="s">
        <v>96</v>
      </c>
      <c r="D436" s="15" t="n">
        <v>620</v>
      </c>
      <c r="E436" s="15" t="n">
        <v>600</v>
      </c>
      <c r="F436" s="15" t="n">
        <v>20</v>
      </c>
      <c r="G436" s="10" t="n">
        <f aca="false">IF(OR(E436="",E436=0),"n/a",IF(F436&lt;0,"n/a",ROUND(F436/E436,1)))</f>
        <v>0</v>
      </c>
      <c r="H436" s="10" t="str">
        <f aca="false">IF(F436&lt;0,"Negative (check entry)",IF(OR(E436="",E436=0),IF(F436=0,"No Activity","OK"),IF(F436/E436&lt;0.5,"Low Stock",IF(F436/E436&gt;3,"Overstock","OK"))))</f>
        <v>Low Stock</v>
      </c>
      <c r="I436" s="16"/>
    </row>
    <row r="437" customFormat="false" ht="15" hidden="false" customHeight="false" outlineLevel="0" collapsed="false">
      <c r="A437" s="15" t="s">
        <v>94</v>
      </c>
      <c r="B437" s="15" t="s">
        <v>95</v>
      </c>
      <c r="C437" s="15" t="s">
        <v>42</v>
      </c>
      <c r="D437" s="15" t="n">
        <v>0</v>
      </c>
      <c r="E437" s="15" t="n">
        <v>0</v>
      </c>
      <c r="F437" s="15" t="n">
        <v>0</v>
      </c>
      <c r="G437" s="10" t="str">
        <f aca="false">IF(OR(E437="",E437=0),"n/a",IF(F437&lt;0,"n/a",ROUND(F437/E437,1)))</f>
        <v>n/a</v>
      </c>
      <c r="H437" s="10" t="str">
        <f aca="false">IF(F437&lt;0,"Negative (check entry)",IF(OR(E437="",E437=0),IF(F437=0,"No Activity","OK"),IF(F437/E437&lt;0.5,"Low Stock",IF(F437/E437&gt;3,"Overstock","OK"))))</f>
        <v>No Activity</v>
      </c>
      <c r="I437" s="16"/>
    </row>
    <row r="438" customFormat="false" ht="15" hidden="false" customHeight="false" outlineLevel="0" collapsed="false">
      <c r="A438" s="15" t="s">
        <v>94</v>
      </c>
      <c r="B438" s="15" t="s">
        <v>95</v>
      </c>
      <c r="C438" s="15" t="s">
        <v>59</v>
      </c>
      <c r="D438" s="15" t="n">
        <v>0</v>
      </c>
      <c r="E438" s="15" t="n">
        <v>0</v>
      </c>
      <c r="F438" s="15" t="n">
        <v>0</v>
      </c>
      <c r="G438" s="10" t="str">
        <f aca="false">IF(OR(E438="",E438=0),"n/a",IF(F438&lt;0,"n/a",ROUND(F438/E438,1)))</f>
        <v>n/a</v>
      </c>
      <c r="H438" s="10" t="str">
        <f aca="false">IF(F438&lt;0,"Negative (check entry)",IF(OR(E438="",E438=0),IF(F438=0,"No Activity","OK"),IF(F438/E438&lt;0.5,"Low Stock",IF(F438/E438&gt;3,"Overstock","OK"))))</f>
        <v>No Activity</v>
      </c>
      <c r="I438" s="16"/>
    </row>
    <row r="439" customFormat="false" ht="15" hidden="false" customHeight="false" outlineLevel="0" collapsed="false">
      <c r="A439" s="15" t="s">
        <v>94</v>
      </c>
      <c r="B439" s="15" t="s">
        <v>95</v>
      </c>
      <c r="C439" s="15" t="s">
        <v>177</v>
      </c>
      <c r="D439" s="15" t="n">
        <v>0</v>
      </c>
      <c r="E439" s="15" t="n">
        <v>0</v>
      </c>
      <c r="F439" s="15" t="n">
        <v>0</v>
      </c>
      <c r="G439" s="10" t="str">
        <f aca="false">IF(OR(E439="",E439=0),"n/a",IF(F439&lt;0,"n/a",ROUND(F439/E439,1)))</f>
        <v>n/a</v>
      </c>
      <c r="H439" s="10" t="str">
        <f aca="false">IF(F439&lt;0,"Negative (check entry)",IF(OR(E439="",E439=0),IF(F439=0,"No Activity","OK"),IF(F439/E439&lt;0.5,"Low Stock",IF(F439/E439&gt;3,"Overstock","OK"))))</f>
        <v>No Activity</v>
      </c>
      <c r="I439" s="16"/>
    </row>
    <row r="440" customFormat="false" ht="15" hidden="false" customHeight="false" outlineLevel="0" collapsed="false">
      <c r="A440" s="15" t="s">
        <v>94</v>
      </c>
      <c r="B440" s="15" t="s">
        <v>95</v>
      </c>
      <c r="C440" s="15" t="s">
        <v>96</v>
      </c>
      <c r="D440" s="15" t="n">
        <v>0</v>
      </c>
      <c r="E440" s="15" t="n">
        <v>0</v>
      </c>
      <c r="F440" s="15" t="n">
        <v>0</v>
      </c>
      <c r="G440" s="10" t="str">
        <f aca="false">IF(OR(E440="",E440=0),"n/a",IF(F440&lt;0,"n/a",ROUND(F440/E440,1)))</f>
        <v>n/a</v>
      </c>
      <c r="H440" s="10" t="str">
        <f aca="false">IF(F440&lt;0,"Negative (check entry)",IF(OR(E440="",E440=0),IF(F440=0,"No Activity","OK"),IF(F440/E440&lt;0.5,"Low Stock",IF(F440/E440&gt;3,"Overstock","OK"))))</f>
        <v>No Activity</v>
      </c>
      <c r="I440" s="16"/>
    </row>
    <row r="441" customFormat="false" ht="15" hidden="false" customHeight="false" outlineLevel="0" collapsed="false">
      <c r="A441" s="15" t="s">
        <v>94</v>
      </c>
      <c r="B441" s="15" t="s">
        <v>95</v>
      </c>
      <c r="C441" s="15" t="s">
        <v>242</v>
      </c>
      <c r="D441" s="15" t="n">
        <v>0</v>
      </c>
      <c r="E441" s="15" t="n">
        <v>0</v>
      </c>
      <c r="F441" s="15" t="n">
        <v>0</v>
      </c>
      <c r="G441" s="10" t="str">
        <f aca="false">IF(OR(E441="",E441=0),"n/a",IF(F441&lt;0,"n/a",ROUND(F441/E441,1)))</f>
        <v>n/a</v>
      </c>
      <c r="H441" s="10" t="str">
        <f aca="false">IF(F441&lt;0,"Negative (check entry)",IF(OR(E441="",E441=0),IF(F441=0,"No Activity","OK"),IF(F441/E441&lt;0.5,"Low Stock",IF(F441/E441&gt;3,"Overstock","OK"))))</f>
        <v>No Activity</v>
      </c>
      <c r="I441" s="16"/>
    </row>
    <row r="442" customFormat="false" ht="15" hidden="false" customHeight="false" outlineLevel="0" collapsed="false">
      <c r="A442" s="15" t="s">
        <v>94</v>
      </c>
      <c r="B442" s="15" t="s">
        <v>95</v>
      </c>
      <c r="C442" s="15" t="s">
        <v>154</v>
      </c>
      <c r="D442" s="15" t="n">
        <v>0</v>
      </c>
      <c r="E442" s="15" t="n">
        <v>0</v>
      </c>
      <c r="F442" s="15" t="n">
        <v>0</v>
      </c>
      <c r="G442" s="10" t="str">
        <f aca="false">IF(OR(E442="",E442=0),"n/a",IF(F442&lt;0,"n/a",ROUND(F442/E442,1)))</f>
        <v>n/a</v>
      </c>
      <c r="H442" s="10" t="str">
        <f aca="false">IF(F442&lt;0,"Negative (check entry)",IF(OR(E442="",E442=0),IF(F442=0,"No Activity","OK"),IF(F442/E442&lt;0.5,"Low Stock",IF(F442/E442&gt;3,"Overstock","OK"))))</f>
        <v>No Activity</v>
      </c>
      <c r="I442" s="16"/>
    </row>
    <row r="443" customFormat="false" ht="15" hidden="false" customHeight="false" outlineLevel="0" collapsed="false">
      <c r="A443" s="15" t="s">
        <v>94</v>
      </c>
      <c r="B443" s="15" t="s">
        <v>95</v>
      </c>
      <c r="C443" s="15" t="s">
        <v>52</v>
      </c>
      <c r="D443" s="15" t="n">
        <v>0</v>
      </c>
      <c r="E443" s="15" t="n">
        <v>0</v>
      </c>
      <c r="F443" s="15" t="n">
        <v>0</v>
      </c>
      <c r="G443" s="10" t="str">
        <f aca="false">IF(OR(E443="",E443=0),"n/a",IF(F443&lt;0,"n/a",ROUND(F443/E443,1)))</f>
        <v>n/a</v>
      </c>
      <c r="H443" s="10" t="str">
        <f aca="false">IF(F443&lt;0,"Negative (check entry)",IF(OR(E443="",E443=0),IF(F443=0,"No Activity","OK"),IF(F443/E443&lt;0.5,"Low Stock",IF(F443/E443&gt;3,"Overstock","OK"))))</f>
        <v>No Activity</v>
      </c>
      <c r="I443" s="16"/>
    </row>
    <row r="444" customFormat="false" ht="15" hidden="false" customHeight="false" outlineLevel="0" collapsed="false">
      <c r="A444" s="15" t="s">
        <v>94</v>
      </c>
      <c r="B444" s="15" t="s">
        <v>95</v>
      </c>
      <c r="C444" s="15" t="s">
        <v>196</v>
      </c>
      <c r="D444" s="15" t="n">
        <v>0</v>
      </c>
      <c r="E444" s="15" t="n">
        <v>0</v>
      </c>
      <c r="F444" s="15" t="n">
        <v>0</v>
      </c>
      <c r="G444" s="10" t="str">
        <f aca="false">IF(OR(E444="",E444=0),"n/a",IF(F444&lt;0,"n/a",ROUND(F444/E444,1)))</f>
        <v>n/a</v>
      </c>
      <c r="H444" s="10" t="str">
        <f aca="false">IF(F444&lt;0,"Negative (check entry)",IF(OR(E444="",E444=0),IF(F444=0,"No Activity","OK"),IF(F444/E444&lt;0.5,"Low Stock",IF(F444/E444&gt;3,"Overstock","OK"))))</f>
        <v>No Activity</v>
      </c>
      <c r="I444" s="16"/>
    </row>
    <row r="445" customFormat="false" ht="15" hidden="false" customHeight="false" outlineLevel="0" collapsed="false">
      <c r="A445" s="15" t="s">
        <v>94</v>
      </c>
      <c r="B445" s="15" t="s">
        <v>95</v>
      </c>
      <c r="C445" s="15" t="s">
        <v>120</v>
      </c>
      <c r="D445" s="15" t="n">
        <v>0</v>
      </c>
      <c r="E445" s="15" t="n">
        <v>0</v>
      </c>
      <c r="F445" s="15" t="n">
        <v>0</v>
      </c>
      <c r="G445" s="10" t="str">
        <f aca="false">IF(OR(E445="",E445=0),"n/a",IF(F445&lt;0,"n/a",ROUND(F445/E445,1)))</f>
        <v>n/a</v>
      </c>
      <c r="H445" s="10" t="str">
        <f aca="false">IF(F445&lt;0,"Negative (check entry)",IF(OR(E445="",E445=0),IF(F445=0,"No Activity","OK"),IF(F445/E445&lt;0.5,"Low Stock",IF(F445/E445&gt;3,"Overstock","OK"))))</f>
        <v>No Activity</v>
      </c>
      <c r="I445" s="16"/>
    </row>
    <row r="446" customFormat="false" ht="15" hidden="false" customHeight="false" outlineLevel="0" collapsed="false">
      <c r="A446" s="15" t="s">
        <v>94</v>
      </c>
      <c r="B446" s="15" t="s">
        <v>95</v>
      </c>
      <c r="C446" s="15" t="s">
        <v>101</v>
      </c>
      <c r="D446" s="15" t="n">
        <v>9140</v>
      </c>
      <c r="E446" s="15" t="n">
        <v>5400</v>
      </c>
      <c r="F446" s="15" t="n">
        <v>3740</v>
      </c>
      <c r="G446" s="10" t="n">
        <f aca="false">IF(OR(E446="",E446=0),"n/a",IF(F446&lt;0,"n/a",ROUND(F446/E446,1)))</f>
        <v>0.7</v>
      </c>
      <c r="H446" s="10" t="str">
        <f aca="false">IF(F446&lt;0,"Negative (check entry)",IF(OR(E446="",E446=0),IF(F446=0,"No Activity","OK"),IF(F446/E446&lt;0.5,"Low Stock",IF(F446/E446&gt;3,"Overstock","OK"))))</f>
        <v>OK</v>
      </c>
      <c r="I446" s="16"/>
    </row>
    <row r="447" customFormat="false" ht="15" hidden="false" customHeight="false" outlineLevel="0" collapsed="false">
      <c r="A447" s="15" t="s">
        <v>94</v>
      </c>
      <c r="B447" s="15" t="s">
        <v>95</v>
      </c>
      <c r="C447" s="15" t="s">
        <v>47</v>
      </c>
      <c r="D447" s="15" t="n">
        <v>0</v>
      </c>
      <c r="E447" s="15" t="n">
        <v>0</v>
      </c>
      <c r="F447" s="15" t="n">
        <v>0</v>
      </c>
      <c r="G447" s="10" t="str">
        <f aca="false">IF(OR(E447="",E447=0),"n/a",IF(F447&lt;0,"n/a",ROUND(F447/E447,1)))</f>
        <v>n/a</v>
      </c>
      <c r="H447" s="10" t="str">
        <f aca="false">IF(F447&lt;0,"Negative (check entry)",IF(OR(E447="",E447=0),IF(F447=0,"No Activity","OK"),IF(F447/E447&lt;0.5,"Low Stock",IF(F447/E447&gt;3,"Overstock","OK"))))</f>
        <v>No Activity</v>
      </c>
      <c r="I447" s="16"/>
    </row>
    <row r="448" customFormat="false" ht="15" hidden="false" customHeight="false" outlineLevel="0" collapsed="false">
      <c r="A448" s="15" t="s">
        <v>94</v>
      </c>
      <c r="B448" s="15" t="s">
        <v>95</v>
      </c>
      <c r="C448" s="15" t="s">
        <v>102</v>
      </c>
      <c r="D448" s="15" t="n">
        <v>9140</v>
      </c>
      <c r="E448" s="15" t="n">
        <v>5400</v>
      </c>
      <c r="F448" s="15" t="n">
        <v>3740</v>
      </c>
      <c r="G448" s="10" t="n">
        <f aca="false">IF(OR(E448="",E448=0),"n/a",IF(F448&lt;0,"n/a",ROUND(F448/E448,1)))</f>
        <v>0.7</v>
      </c>
      <c r="H448" s="10" t="str">
        <f aca="false">IF(F448&lt;0,"Negative (check entry)",IF(OR(E448="",E448=0),IF(F448=0,"No Activity","OK"),IF(F448/E448&lt;0.5,"Low Stock",IF(F448/E448&gt;3,"Overstock","OK"))))</f>
        <v>OK</v>
      </c>
      <c r="I448" s="16"/>
    </row>
    <row r="449" customFormat="false" ht="15" hidden="false" customHeight="false" outlineLevel="0" collapsed="false">
      <c r="A449" s="15" t="s">
        <v>94</v>
      </c>
      <c r="B449" s="15" t="s">
        <v>95</v>
      </c>
      <c r="C449" s="15" t="s">
        <v>172</v>
      </c>
      <c r="D449" s="15" t="n">
        <v>0</v>
      </c>
      <c r="E449" s="15" t="n">
        <v>0</v>
      </c>
      <c r="F449" s="15" t="n">
        <v>0</v>
      </c>
      <c r="G449" s="10" t="str">
        <f aca="false">IF(OR(E449="",E449=0),"n/a",IF(F449&lt;0,"n/a",ROUND(F449/E449,1)))</f>
        <v>n/a</v>
      </c>
      <c r="H449" s="10" t="str">
        <f aca="false">IF(F449&lt;0,"Negative (check entry)",IF(OR(E449="",E449=0),IF(F449=0,"No Activity","OK"),IF(F449/E449&lt;0.5,"Low Stock",IF(F449/E449&gt;3,"Overstock","OK"))))</f>
        <v>No Activity</v>
      </c>
      <c r="I449" s="16"/>
    </row>
    <row r="450" customFormat="false" ht="15" hidden="false" customHeight="false" outlineLevel="0" collapsed="false">
      <c r="A450" s="15" t="s">
        <v>94</v>
      </c>
      <c r="B450" s="15" t="s">
        <v>95</v>
      </c>
      <c r="C450" s="15" t="s">
        <v>104</v>
      </c>
      <c r="D450" s="15" t="n">
        <v>9140</v>
      </c>
      <c r="E450" s="15" t="n">
        <v>5400</v>
      </c>
      <c r="F450" s="15" t="n">
        <v>3740</v>
      </c>
      <c r="G450" s="10" t="n">
        <f aca="false">IF(OR(E450="",E450=0),"n/a",IF(F450&lt;0,"n/a",ROUND(F450/E450,1)))</f>
        <v>0.7</v>
      </c>
      <c r="H450" s="10" t="str">
        <f aca="false">IF(F450&lt;0,"Negative (check entry)",IF(OR(E450="",E450=0),IF(F450=0,"No Activity","OK"),IF(F450/E450&lt;0.5,"Low Stock",IF(F450/E450&gt;3,"Overstock","OK"))))</f>
        <v>OK</v>
      </c>
      <c r="I450" s="16"/>
    </row>
    <row r="451" customFormat="false" ht="15" hidden="false" customHeight="false" outlineLevel="0" collapsed="false">
      <c r="A451" s="15" t="s">
        <v>89</v>
      </c>
      <c r="B451" s="15" t="s">
        <v>106</v>
      </c>
      <c r="C451" s="15" t="s">
        <v>127</v>
      </c>
      <c r="D451" s="15" t="n">
        <v>0</v>
      </c>
      <c r="E451" s="15" t="n">
        <v>0</v>
      </c>
      <c r="F451" s="15" t="n">
        <v>0</v>
      </c>
      <c r="G451" s="10" t="str">
        <f aca="false">IF(OR(E451="",E451=0),"n/a",IF(F451&lt;0,"n/a",ROUND(F451/E451,1)))</f>
        <v>n/a</v>
      </c>
      <c r="H451" s="10" t="str">
        <f aca="false">IF(F451&lt;0,"Negative (check entry)",IF(OR(E451="",E451=0),IF(F451=0,"No Activity","OK"),IF(F451/E451&lt;0.5,"Low Stock",IF(F451/E451&gt;3,"Overstock","OK"))))</f>
        <v>No Activity</v>
      </c>
      <c r="I451" s="16"/>
    </row>
    <row r="452" customFormat="false" ht="15" hidden="false" customHeight="false" outlineLevel="0" collapsed="false">
      <c r="A452" s="15" t="s">
        <v>89</v>
      </c>
      <c r="B452" s="15" t="s">
        <v>106</v>
      </c>
      <c r="C452" s="15" t="s">
        <v>98</v>
      </c>
      <c r="D452" s="15" t="n">
        <v>204</v>
      </c>
      <c r="E452" s="15" t="n">
        <v>144</v>
      </c>
      <c r="F452" s="15" t="n">
        <v>60</v>
      </c>
      <c r="G452" s="10" t="n">
        <f aca="false">IF(OR(E452="",E452=0),"n/a",IF(F452&lt;0,"n/a",ROUND(F452/E452,1)))</f>
        <v>0.4</v>
      </c>
      <c r="H452" s="10" t="str">
        <f aca="false">IF(F452&lt;0,"Negative (check entry)",IF(OR(E452="",E452=0),IF(F452=0,"No Activity","OK"),IF(F452/E452&lt;0.5,"Low Stock",IF(F452/E452&gt;3,"Overstock","OK"))))</f>
        <v>Low Stock</v>
      </c>
      <c r="I452" s="16"/>
    </row>
    <row r="453" customFormat="false" ht="15" hidden="false" customHeight="false" outlineLevel="0" collapsed="false">
      <c r="A453" s="15" t="s">
        <v>89</v>
      </c>
      <c r="B453" s="15" t="s">
        <v>106</v>
      </c>
      <c r="C453" s="15" t="s">
        <v>88</v>
      </c>
      <c r="D453" s="15" t="n">
        <v>24</v>
      </c>
      <c r="E453" s="15" t="n">
        <v>0</v>
      </c>
      <c r="F453" s="15" t="n">
        <v>24</v>
      </c>
      <c r="G453" s="10" t="str">
        <f aca="false">IF(OR(E453="",E453=0),"n/a",IF(F453&lt;0,"n/a",ROUND(F453/E453,1)))</f>
        <v>n/a</v>
      </c>
      <c r="H453" s="10" t="str">
        <f aca="false">IF(F453&lt;0,"Negative (check entry)",IF(OR(E453="",E453=0),IF(F453=0,"No Activity","OK"),IF(F453/E453&lt;0.5,"Low Stock",IF(F453/E453&gt;3,"Overstock","OK"))))</f>
        <v>OK</v>
      </c>
      <c r="I453" s="16"/>
    </row>
    <row r="454" customFormat="false" ht="15" hidden="false" customHeight="false" outlineLevel="0" collapsed="false">
      <c r="A454" s="15" t="s">
        <v>89</v>
      </c>
      <c r="B454" s="15" t="s">
        <v>106</v>
      </c>
      <c r="C454" s="15" t="s">
        <v>38</v>
      </c>
      <c r="D454" s="15" t="n">
        <v>384</v>
      </c>
      <c r="E454" s="15" t="n">
        <v>240</v>
      </c>
      <c r="F454" s="15" t="n">
        <v>144</v>
      </c>
      <c r="G454" s="10" t="n">
        <f aca="false">IF(OR(E454="",E454=0),"n/a",IF(F454&lt;0,"n/a",ROUND(F454/E454,1)))</f>
        <v>0.6</v>
      </c>
      <c r="H454" s="10" t="str">
        <f aca="false">IF(F454&lt;0,"Negative (check entry)",IF(OR(E454="",E454=0),IF(F454=0,"No Activity","OK"),IF(F454/E454&lt;0.5,"Low Stock",IF(F454/E454&gt;3,"Overstock","OK"))))</f>
        <v>OK</v>
      </c>
      <c r="I454" s="16"/>
    </row>
    <row r="455" customFormat="false" ht="15" hidden="false" customHeight="false" outlineLevel="0" collapsed="false">
      <c r="A455" s="15" t="s">
        <v>89</v>
      </c>
      <c r="B455" s="15" t="s">
        <v>106</v>
      </c>
      <c r="C455" s="15" t="s">
        <v>59</v>
      </c>
      <c r="D455" s="15" t="n">
        <v>120</v>
      </c>
      <c r="E455" s="15" t="n">
        <v>96</v>
      </c>
      <c r="F455" s="15" t="n">
        <v>24</v>
      </c>
      <c r="G455" s="10" t="n">
        <f aca="false">IF(OR(E455="",E455=0),"n/a",IF(F455&lt;0,"n/a",ROUND(F455/E455,1)))</f>
        <v>0.3</v>
      </c>
      <c r="H455" s="10" t="str">
        <f aca="false">IF(F455&lt;0,"Negative (check entry)",IF(OR(E455="",E455=0),IF(F455=0,"No Activity","OK"),IF(F455/E455&lt;0.5,"Low Stock",IF(F455/E455&gt;3,"Overstock","OK"))))</f>
        <v>Low Stock</v>
      </c>
      <c r="I455" s="16"/>
    </row>
    <row r="456" customFormat="false" ht="15" hidden="false" customHeight="false" outlineLevel="0" collapsed="false">
      <c r="A456" s="15" t="s">
        <v>89</v>
      </c>
      <c r="B456" s="15" t="s">
        <v>106</v>
      </c>
      <c r="C456" s="15" t="s">
        <v>246</v>
      </c>
      <c r="D456" s="15" t="n">
        <v>192</v>
      </c>
      <c r="E456" s="15" t="n">
        <v>48</v>
      </c>
      <c r="F456" s="15" t="n">
        <v>144</v>
      </c>
      <c r="G456" s="10" t="n">
        <f aca="false">IF(OR(E456="",E456=0),"n/a",IF(F456&lt;0,"n/a",ROUND(F456/E456,1)))</f>
        <v>3</v>
      </c>
      <c r="H456" s="10" t="str">
        <f aca="false">IF(F456&lt;0,"Negative (check entry)",IF(OR(E456="",E456=0),IF(F456=0,"No Activity","OK"),IF(F456/E456&lt;0.5,"Low Stock",IF(F456/E456&gt;3,"Overstock","OK"))))</f>
        <v>OK</v>
      </c>
      <c r="I456" s="16"/>
    </row>
    <row r="457" customFormat="false" ht="15" hidden="false" customHeight="false" outlineLevel="0" collapsed="false">
      <c r="A457" s="15" t="s">
        <v>89</v>
      </c>
      <c r="B457" s="15" t="s">
        <v>106</v>
      </c>
      <c r="C457" s="15" t="s">
        <v>52</v>
      </c>
      <c r="D457" s="15" t="n">
        <v>0</v>
      </c>
      <c r="E457" s="15" t="n">
        <v>0</v>
      </c>
      <c r="F457" s="15" t="n">
        <v>0</v>
      </c>
      <c r="G457" s="10" t="str">
        <f aca="false">IF(OR(E457="",E457=0),"n/a",IF(F457&lt;0,"n/a",ROUND(F457/E457,1)))</f>
        <v>n/a</v>
      </c>
      <c r="H457" s="10" t="str">
        <f aca="false">IF(F457&lt;0,"Negative (check entry)",IF(OR(E457="",E457=0),IF(F457=0,"No Activity","OK"),IF(F457/E457&lt;0.5,"Low Stock",IF(F457/E457&gt;3,"Overstock","OK"))))</f>
        <v>No Activity</v>
      </c>
      <c r="I457" s="16"/>
    </row>
    <row r="458" customFormat="false" ht="15" hidden="false" customHeight="false" outlineLevel="0" collapsed="false">
      <c r="A458" s="15" t="s">
        <v>89</v>
      </c>
      <c r="B458" s="15" t="s">
        <v>247</v>
      </c>
      <c r="C458" s="15" t="s">
        <v>79</v>
      </c>
      <c r="D458" s="15" t="n">
        <v>0</v>
      </c>
      <c r="E458" s="15" t="n">
        <v>0</v>
      </c>
      <c r="F458" s="15" t="n">
        <v>0</v>
      </c>
      <c r="G458" s="10" t="str">
        <f aca="false">IF(OR(E458="",E458=0),"n/a",IF(F458&lt;0,"n/a",ROUND(F458/E458,1)))</f>
        <v>n/a</v>
      </c>
      <c r="H458" s="10" t="str">
        <f aca="false">IF(F458&lt;0,"Negative (check entry)",IF(OR(E458="",E458=0),IF(F458=0,"No Activity","OK"),IF(F458/E458&lt;0.5,"Low Stock",IF(F458/E458&gt;3,"Overstock","OK"))))</f>
        <v>No Activity</v>
      </c>
      <c r="I458" s="16"/>
    </row>
    <row r="459" customFormat="false" ht="15" hidden="false" customHeight="false" outlineLevel="0" collapsed="false">
      <c r="A459" s="15" t="s">
        <v>89</v>
      </c>
      <c r="B459" s="15" t="s">
        <v>247</v>
      </c>
      <c r="C459" s="15" t="s">
        <v>122</v>
      </c>
      <c r="D459" s="15" t="n">
        <v>0</v>
      </c>
      <c r="E459" s="15" t="n">
        <v>0</v>
      </c>
      <c r="F459" s="15" t="n">
        <v>0</v>
      </c>
      <c r="G459" s="10" t="str">
        <f aca="false">IF(OR(E459="",E459=0),"n/a",IF(F459&lt;0,"n/a",ROUND(F459/E459,1)))</f>
        <v>n/a</v>
      </c>
      <c r="H459" s="10" t="str">
        <f aca="false">IF(F459&lt;0,"Negative (check entry)",IF(OR(E459="",E459=0),IF(F459=0,"No Activity","OK"),IF(F459/E459&lt;0.5,"Low Stock",IF(F459/E459&gt;3,"Overstock","OK"))))</f>
        <v>No Activity</v>
      </c>
      <c r="I459" s="16"/>
    </row>
    <row r="460" customFormat="false" ht="15" hidden="false" customHeight="false" outlineLevel="0" collapsed="false">
      <c r="A460" s="15" t="s">
        <v>89</v>
      </c>
      <c r="B460" s="15" t="s">
        <v>247</v>
      </c>
      <c r="C460" s="15" t="s">
        <v>210</v>
      </c>
      <c r="D460" s="15" t="n">
        <v>0</v>
      </c>
      <c r="E460" s="15" t="n">
        <v>0</v>
      </c>
      <c r="F460" s="15" t="n">
        <v>0</v>
      </c>
      <c r="G460" s="10" t="str">
        <f aca="false">IF(OR(E460="",E460=0),"n/a",IF(F460&lt;0,"n/a",ROUND(F460/E460,1)))</f>
        <v>n/a</v>
      </c>
      <c r="H460" s="10" t="str">
        <f aca="false">IF(F460&lt;0,"Negative (check entry)",IF(OR(E460="",E460=0),IF(F460=0,"No Activity","OK"),IF(F460/E460&lt;0.5,"Low Stock",IF(F460/E460&gt;3,"Overstock","OK"))))</f>
        <v>No Activity</v>
      </c>
      <c r="I460" s="16"/>
    </row>
    <row r="461" customFormat="false" ht="15" hidden="false" customHeight="false" outlineLevel="0" collapsed="false">
      <c r="A461" s="15" t="s">
        <v>89</v>
      </c>
      <c r="B461" s="15" t="s">
        <v>247</v>
      </c>
      <c r="C461" s="15" t="s">
        <v>42</v>
      </c>
      <c r="D461" s="15" t="n">
        <v>0</v>
      </c>
      <c r="E461" s="15" t="n">
        <v>0</v>
      </c>
      <c r="F461" s="15" t="n">
        <v>0</v>
      </c>
      <c r="G461" s="10" t="str">
        <f aca="false">IF(OR(E461="",E461=0),"n/a",IF(F461&lt;0,"n/a",ROUND(F461/E461,1)))</f>
        <v>n/a</v>
      </c>
      <c r="H461" s="10" t="str">
        <f aca="false">IF(F461&lt;0,"Negative (check entry)",IF(OR(E461="",E461=0),IF(F461=0,"No Activity","OK"),IF(F461/E461&lt;0.5,"Low Stock",IF(F461/E461&gt;3,"Overstock","OK"))))</f>
        <v>No Activity</v>
      </c>
      <c r="I461" s="16"/>
    </row>
    <row r="462" customFormat="false" ht="15" hidden="false" customHeight="false" outlineLevel="0" collapsed="false">
      <c r="A462" s="15" t="s">
        <v>89</v>
      </c>
      <c r="B462" s="15" t="s">
        <v>247</v>
      </c>
      <c r="C462" s="15" t="s">
        <v>119</v>
      </c>
      <c r="D462" s="15" t="n">
        <v>0</v>
      </c>
      <c r="E462" s="15" t="n">
        <v>0</v>
      </c>
      <c r="F462" s="15" t="n">
        <v>0</v>
      </c>
      <c r="G462" s="10" t="str">
        <f aca="false">IF(OR(E462="",E462=0),"n/a",IF(F462&lt;0,"n/a",ROUND(F462/E462,1)))</f>
        <v>n/a</v>
      </c>
      <c r="H462" s="10" t="str">
        <f aca="false">IF(F462&lt;0,"Negative (check entry)",IF(OR(E462="",E462=0),IF(F462=0,"No Activity","OK"),IF(F462/E462&lt;0.5,"Low Stock",IF(F462/E462&gt;3,"Overstock","OK"))))</f>
        <v>No Activity</v>
      </c>
      <c r="I462" s="16"/>
    </row>
    <row r="463" customFormat="false" ht="15" hidden="false" customHeight="false" outlineLevel="0" collapsed="false">
      <c r="A463" s="15" t="s">
        <v>89</v>
      </c>
      <c r="B463" s="15" t="s">
        <v>247</v>
      </c>
      <c r="C463" s="15" t="s">
        <v>38</v>
      </c>
      <c r="D463" s="15" t="n">
        <v>0</v>
      </c>
      <c r="E463" s="15" t="n">
        <v>0</v>
      </c>
      <c r="F463" s="15" t="n">
        <v>0</v>
      </c>
      <c r="G463" s="10" t="str">
        <f aca="false">IF(OR(E463="",E463=0),"n/a",IF(F463&lt;0,"n/a",ROUND(F463/E463,1)))</f>
        <v>n/a</v>
      </c>
      <c r="H463" s="10" t="str">
        <f aca="false">IF(F463&lt;0,"Negative (check entry)",IF(OR(E463="",E463=0),IF(F463=0,"No Activity","OK"),IF(F463/E463&lt;0.5,"Low Stock",IF(F463/E463&gt;3,"Overstock","OK"))))</f>
        <v>No Activity</v>
      </c>
      <c r="I463" s="16"/>
    </row>
    <row r="464" customFormat="false" ht="15" hidden="false" customHeight="false" outlineLevel="0" collapsed="false">
      <c r="A464" s="15" t="s">
        <v>89</v>
      </c>
      <c r="B464" s="15" t="s">
        <v>247</v>
      </c>
      <c r="C464" s="15" t="s">
        <v>80</v>
      </c>
      <c r="D464" s="15" t="n">
        <v>0</v>
      </c>
      <c r="E464" s="15" t="n">
        <v>0</v>
      </c>
      <c r="F464" s="15" t="n">
        <v>0</v>
      </c>
      <c r="G464" s="10" t="str">
        <f aca="false">IF(OR(E464="",E464=0),"n/a",IF(F464&lt;0,"n/a",ROUND(F464/E464,1)))</f>
        <v>n/a</v>
      </c>
      <c r="H464" s="10" t="str">
        <f aca="false">IF(F464&lt;0,"Negative (check entry)",IF(OR(E464="",E464=0),IF(F464=0,"No Activity","OK"),IF(F464/E464&lt;0.5,"Low Stock",IF(F464/E464&gt;3,"Overstock","OK"))))</f>
        <v>No Activity</v>
      </c>
      <c r="I464" s="16"/>
    </row>
    <row r="465" customFormat="false" ht="15" hidden="false" customHeight="false" outlineLevel="0" collapsed="false">
      <c r="A465" s="15" t="s">
        <v>89</v>
      </c>
      <c r="B465" s="15" t="s">
        <v>247</v>
      </c>
      <c r="C465" s="15" t="s">
        <v>248</v>
      </c>
      <c r="D465" s="15" t="n">
        <v>0</v>
      </c>
      <c r="E465" s="15" t="n">
        <v>0</v>
      </c>
      <c r="F465" s="15" t="n">
        <v>0</v>
      </c>
      <c r="G465" s="10" t="str">
        <f aca="false">IF(OR(E465="",E465=0),"n/a",IF(F465&lt;0,"n/a",ROUND(F465/E465,1)))</f>
        <v>n/a</v>
      </c>
      <c r="H465" s="10" t="str">
        <f aca="false">IF(F465&lt;0,"Negative (check entry)",IF(OR(E465="",E465=0),IF(F465=0,"No Activity","OK"),IF(F465/E465&lt;0.5,"Low Stock",IF(F465/E465&gt;3,"Overstock","OK"))))</f>
        <v>No Activity</v>
      </c>
      <c r="I465" s="16"/>
    </row>
    <row r="466" customFormat="false" ht="15" hidden="false" customHeight="false" outlineLevel="0" collapsed="false">
      <c r="A466" s="15" t="s">
        <v>89</v>
      </c>
      <c r="B466" s="15" t="s">
        <v>90</v>
      </c>
      <c r="C466" s="15" t="s">
        <v>59</v>
      </c>
      <c r="D466" s="15" t="n">
        <v>0</v>
      </c>
      <c r="E466" s="15" t="n">
        <v>276</v>
      </c>
      <c r="F466" s="15" t="n">
        <v>708</v>
      </c>
      <c r="G466" s="10" t="n">
        <f aca="false">IF(OR(E466="",E466=0),"n/a",IF(F466&lt;0,"n/a",ROUND(F466/E466,1)))</f>
        <v>2.6</v>
      </c>
      <c r="H466" s="10" t="str">
        <f aca="false">IF(F466&lt;0,"Negative (check entry)",IF(OR(E466="",E466=0),IF(F466=0,"No Activity","OK"),IF(F466/E466&lt;0.5,"Low Stock",IF(F466/E466&gt;3,"Overstock","OK"))))</f>
        <v>OK</v>
      </c>
      <c r="I466" s="16"/>
    </row>
    <row r="467" customFormat="false" ht="15" hidden="false" customHeight="false" outlineLevel="0" collapsed="false">
      <c r="A467" s="15" t="s">
        <v>89</v>
      </c>
      <c r="B467" s="15" t="s">
        <v>90</v>
      </c>
      <c r="C467" s="15" t="s">
        <v>100</v>
      </c>
      <c r="D467" s="15" t="n">
        <v>0</v>
      </c>
      <c r="E467" s="15" t="n">
        <v>744</v>
      </c>
      <c r="F467" s="15" t="n">
        <v>576</v>
      </c>
      <c r="G467" s="10" t="n">
        <f aca="false">IF(OR(E467="",E467=0),"n/a",IF(F467&lt;0,"n/a",ROUND(F467/E467,1)))</f>
        <v>0.8</v>
      </c>
      <c r="H467" s="10" t="str">
        <f aca="false">IF(F467&lt;0,"Negative (check entry)",IF(OR(E467="",E467=0),IF(F467=0,"No Activity","OK"),IF(F467/E467&lt;0.5,"Low Stock",IF(F467/E467&gt;3,"Overstock","OK"))))</f>
        <v>OK</v>
      </c>
      <c r="I467" s="16"/>
    </row>
    <row r="468" customFormat="false" ht="15" hidden="false" customHeight="false" outlineLevel="0" collapsed="false">
      <c r="A468" s="15" t="s">
        <v>89</v>
      </c>
      <c r="B468" s="15" t="s">
        <v>90</v>
      </c>
      <c r="C468" s="15" t="s">
        <v>38</v>
      </c>
      <c r="D468" s="15" t="n">
        <v>648</v>
      </c>
      <c r="E468" s="15" t="n">
        <v>756</v>
      </c>
      <c r="F468" s="15" t="n">
        <v>420</v>
      </c>
      <c r="G468" s="10" t="n">
        <f aca="false">IF(OR(E468="",E468=0),"n/a",IF(F468&lt;0,"n/a",ROUND(F468/E468,1)))</f>
        <v>0.6</v>
      </c>
      <c r="H468" s="10" t="str">
        <f aca="false">IF(F468&lt;0,"Negative (check entry)",IF(OR(E468="",E468=0),IF(F468=0,"No Activity","OK"),IF(F468/E468&lt;0.5,"Low Stock",IF(F468/E468&gt;3,"Overstock","OK"))))</f>
        <v>OK</v>
      </c>
      <c r="I468" s="16"/>
    </row>
    <row r="469" customFormat="false" ht="15" hidden="false" customHeight="false" outlineLevel="0" collapsed="false">
      <c r="A469" s="15" t="s">
        <v>89</v>
      </c>
      <c r="B469" s="15" t="s">
        <v>90</v>
      </c>
      <c r="C469" s="15" t="s">
        <v>97</v>
      </c>
      <c r="D469" s="15" t="n">
        <v>0</v>
      </c>
      <c r="E469" s="15" t="n">
        <v>1068</v>
      </c>
      <c r="F469" s="15" t="n">
        <v>912</v>
      </c>
      <c r="G469" s="10" t="n">
        <f aca="false">IF(OR(E469="",E469=0),"n/a",IF(F469&lt;0,"n/a",ROUND(F469/E469,1)))</f>
        <v>0.9</v>
      </c>
      <c r="H469" s="10" t="str">
        <f aca="false">IF(F469&lt;0,"Negative (check entry)",IF(OR(E469="",E469=0),IF(F469=0,"No Activity","OK"),IF(F469/E469&lt;0.5,"Low Stock",IF(F469/E469&gt;3,"Overstock","OK"))))</f>
        <v>OK</v>
      </c>
      <c r="I469" s="16"/>
    </row>
    <row r="470" customFormat="false" ht="15" hidden="false" customHeight="false" outlineLevel="0" collapsed="false">
      <c r="A470" s="15" t="s">
        <v>89</v>
      </c>
      <c r="B470" s="15" t="s">
        <v>90</v>
      </c>
      <c r="C470" s="15" t="s">
        <v>177</v>
      </c>
      <c r="D470" s="15" t="n">
        <v>444</v>
      </c>
      <c r="E470" s="15" t="n">
        <v>300</v>
      </c>
      <c r="F470" s="15" t="n">
        <v>144</v>
      </c>
      <c r="G470" s="10" t="n">
        <f aca="false">IF(OR(E470="",E470=0),"n/a",IF(F470&lt;0,"n/a",ROUND(F470/E470,1)))</f>
        <v>0.5</v>
      </c>
      <c r="H470" s="10" t="str">
        <f aca="false">IF(F470&lt;0,"Negative (check entry)",IF(OR(E470="",E470=0),IF(F470=0,"No Activity","OK"),IF(F470/E470&lt;0.5,"Low Stock",IF(F470/E470&gt;3,"Overstock","OK"))))</f>
        <v>Low Stock</v>
      </c>
      <c r="I470" s="16"/>
    </row>
    <row r="471" customFormat="false" ht="15" hidden="false" customHeight="false" outlineLevel="0" collapsed="false">
      <c r="A471" s="15" t="s">
        <v>89</v>
      </c>
      <c r="B471" s="15" t="s">
        <v>90</v>
      </c>
      <c r="C471" s="15" t="s">
        <v>249</v>
      </c>
      <c r="D471" s="15" t="n">
        <v>1272</v>
      </c>
      <c r="E471" s="15" t="n">
        <v>564</v>
      </c>
      <c r="F471" s="15" t="n">
        <v>708</v>
      </c>
      <c r="G471" s="10" t="n">
        <f aca="false">IF(OR(E471="",E471=0),"n/a",IF(F471&lt;0,"n/a",ROUND(F471/E471,1)))</f>
        <v>1.3</v>
      </c>
      <c r="H471" s="10" t="str">
        <f aca="false">IF(F471&lt;0,"Negative (check entry)",IF(OR(E471="",E471=0),IF(F471=0,"No Activity","OK"),IF(F471/E471&lt;0.5,"Low Stock",IF(F471/E471&gt;3,"Overstock","OK"))))</f>
        <v>OK</v>
      </c>
      <c r="I471" s="16"/>
    </row>
    <row r="472" customFormat="false" ht="15" hidden="false" customHeight="false" outlineLevel="0" collapsed="false">
      <c r="A472" s="15" t="s">
        <v>89</v>
      </c>
      <c r="B472" s="15" t="s">
        <v>90</v>
      </c>
      <c r="C472" s="15" t="s">
        <v>88</v>
      </c>
      <c r="D472" s="15" t="n">
        <v>36</v>
      </c>
      <c r="E472" s="15" t="n">
        <v>36</v>
      </c>
      <c r="F472" s="15" t="n">
        <v>0</v>
      </c>
      <c r="G472" s="10" t="n">
        <f aca="false">IF(OR(E472="",E472=0),"n/a",IF(F472&lt;0,"n/a",ROUND(F472/E472,1)))</f>
        <v>0</v>
      </c>
      <c r="H472" s="10" t="str">
        <f aca="false">IF(F472&lt;0,"Negative (check entry)",IF(OR(E472="",E472=0),IF(F472=0,"No Activity","OK"),IF(F472/E472&lt;0.5,"Low Stock",IF(F472/E472&gt;3,"Overstock","OK"))))</f>
        <v>Low Stock</v>
      </c>
      <c r="I472" s="16"/>
    </row>
    <row r="473" customFormat="false" ht="15" hidden="false" customHeight="false" outlineLevel="0" collapsed="false">
      <c r="A473" s="15" t="s">
        <v>89</v>
      </c>
      <c r="B473" s="15" t="s">
        <v>90</v>
      </c>
      <c r="C473" s="15" t="s">
        <v>250</v>
      </c>
      <c r="D473" s="15" t="n">
        <v>0</v>
      </c>
      <c r="E473" s="15" t="n">
        <v>0</v>
      </c>
      <c r="F473" s="15" t="n">
        <v>0</v>
      </c>
      <c r="G473" s="10" t="str">
        <f aca="false">IF(OR(E473="",E473=0),"n/a",IF(F473&lt;0,"n/a",ROUND(F473/E473,1)))</f>
        <v>n/a</v>
      </c>
      <c r="H473" s="10" t="str">
        <f aca="false">IF(F473&lt;0,"Negative (check entry)",IF(OR(E473="",E473=0),IF(F473=0,"No Activity","OK"),IF(F473/E473&lt;0.5,"Low Stock",IF(F473/E473&gt;3,"Overstock","OK"))))</f>
        <v>No Activity</v>
      </c>
      <c r="I473" s="16"/>
    </row>
    <row r="474" customFormat="false" ht="15" hidden="false" customHeight="false" outlineLevel="0" collapsed="false">
      <c r="A474" s="15" t="s">
        <v>89</v>
      </c>
      <c r="B474" s="15" t="s">
        <v>90</v>
      </c>
      <c r="C474" s="15" t="s">
        <v>101</v>
      </c>
      <c r="D474" s="15" t="n">
        <v>3324</v>
      </c>
      <c r="E474" s="15" t="n">
        <v>4272</v>
      </c>
      <c r="F474" s="15" t="n">
        <v>3864</v>
      </c>
      <c r="G474" s="10" t="n">
        <f aca="false">IF(OR(E474="",E474=0),"n/a",IF(F474&lt;0,"n/a",ROUND(F474/E474,1)))</f>
        <v>0.9</v>
      </c>
      <c r="H474" s="10" t="str">
        <f aca="false">IF(F474&lt;0,"Negative (check entry)",IF(OR(E474="",E474=0),IF(F474=0,"No Activity","OK"),IF(F474/E474&lt;0.5,"Low Stock",IF(F474/E474&gt;3,"Overstock","OK"))))</f>
        <v>OK</v>
      </c>
      <c r="I474" s="16"/>
    </row>
    <row r="475" customFormat="false" ht="15" hidden="false" customHeight="false" outlineLevel="0" collapsed="false">
      <c r="A475" s="15" t="s">
        <v>89</v>
      </c>
      <c r="B475" s="15" t="s">
        <v>90</v>
      </c>
      <c r="C475" s="15" t="s">
        <v>47</v>
      </c>
      <c r="D475" s="15" t="n">
        <v>0</v>
      </c>
      <c r="E475" s="15" t="n">
        <v>0</v>
      </c>
      <c r="F475" s="15" t="n">
        <v>28</v>
      </c>
      <c r="G475" s="10" t="str">
        <f aca="false">IF(OR(E475="",E475=0),"n/a",IF(F475&lt;0,"n/a",ROUND(F475/E475,1)))</f>
        <v>n/a</v>
      </c>
      <c r="H475" s="10" t="str">
        <f aca="false">IF(F475&lt;0,"Negative (check entry)",IF(OR(E475="",E475=0),IF(F475=0,"No Activity","OK"),IF(F475/E475&lt;0.5,"Low Stock",IF(F475/E475&gt;3,"Overstock","OK"))))</f>
        <v>OK</v>
      </c>
      <c r="I475" s="16"/>
    </row>
    <row r="476" customFormat="false" ht="15" hidden="false" customHeight="false" outlineLevel="0" collapsed="false">
      <c r="A476" s="15" t="s">
        <v>89</v>
      </c>
      <c r="B476" s="15" t="s">
        <v>90</v>
      </c>
      <c r="C476" s="15" t="s">
        <v>102</v>
      </c>
      <c r="D476" s="15" t="n">
        <v>3324</v>
      </c>
      <c r="E476" s="15" t="n">
        <v>4272</v>
      </c>
      <c r="F476" s="15" t="n">
        <v>3892</v>
      </c>
      <c r="G476" s="10" t="n">
        <f aca="false">IF(OR(E476="",E476=0),"n/a",IF(F476&lt;0,"n/a",ROUND(F476/E476,1)))</f>
        <v>0.9</v>
      </c>
      <c r="H476" s="10" t="str">
        <f aca="false">IF(F476&lt;0,"Negative (check entry)",IF(OR(E476="",E476=0),IF(F476=0,"No Activity","OK"),IF(F476/E476&lt;0.5,"Low Stock",IF(F476/E476&gt;3,"Overstock","OK"))))</f>
        <v>OK</v>
      </c>
      <c r="I476" s="16"/>
    </row>
    <row r="477" customFormat="false" ht="15" hidden="false" customHeight="false" outlineLevel="0" collapsed="false">
      <c r="A477" s="15" t="s">
        <v>89</v>
      </c>
      <c r="B477" s="15" t="s">
        <v>90</v>
      </c>
      <c r="C477" s="15" t="s">
        <v>172</v>
      </c>
      <c r="D477" s="15" t="n">
        <v>0</v>
      </c>
      <c r="E477" s="15" t="n">
        <v>0</v>
      </c>
      <c r="F477" s="15" t="n">
        <v>103</v>
      </c>
      <c r="G477" s="10" t="str">
        <f aca="false">IF(OR(E477="",E477=0),"n/a",IF(F477&lt;0,"n/a",ROUND(F477/E477,1)))</f>
        <v>n/a</v>
      </c>
      <c r="H477" s="10" t="str">
        <f aca="false">IF(F477&lt;0,"Negative (check entry)",IF(OR(E477="",E477=0),IF(F477=0,"No Activity","OK"),IF(F477/E477&lt;0.5,"Low Stock",IF(F477/E477&gt;3,"Overstock","OK"))))</f>
        <v>OK</v>
      </c>
      <c r="I477" s="16"/>
    </row>
    <row r="478" customFormat="false" ht="15" hidden="false" customHeight="false" outlineLevel="0" collapsed="false">
      <c r="A478" s="15" t="s">
        <v>89</v>
      </c>
      <c r="B478" s="15" t="s">
        <v>90</v>
      </c>
      <c r="C478" s="15" t="s">
        <v>104</v>
      </c>
      <c r="D478" s="15" t="n">
        <v>3324</v>
      </c>
      <c r="E478" s="15" t="n">
        <v>4272</v>
      </c>
      <c r="F478" s="15" t="n">
        <v>3995</v>
      </c>
      <c r="G478" s="10" t="n">
        <f aca="false">IF(OR(E478="",E478=0),"n/a",IF(F478&lt;0,"n/a",ROUND(F478/E478,1)))</f>
        <v>0.9</v>
      </c>
      <c r="H478" s="10" t="str">
        <f aca="false">IF(F478&lt;0,"Negative (check entry)",IF(OR(E478="",E478=0),IF(F478=0,"No Activity","OK"),IF(F478/E478&lt;0.5,"Low Stock",IF(F478/E478&gt;3,"Overstock","OK"))))</f>
        <v>OK</v>
      </c>
      <c r="I478" s="16"/>
    </row>
    <row r="479" customFormat="false" ht="15" hidden="false" customHeight="false" outlineLevel="0" collapsed="false">
      <c r="A479" s="15" t="s">
        <v>67</v>
      </c>
      <c r="B479" s="15"/>
      <c r="C479" s="15" t="s">
        <v>177</v>
      </c>
      <c r="D479" s="15" t="n">
        <v>0</v>
      </c>
      <c r="E479" s="15" t="n">
        <v>0</v>
      </c>
      <c r="F479" s="15" t="n">
        <v>0</v>
      </c>
      <c r="G479" s="10" t="str">
        <f aca="false">IF(OR(E479="",E479=0),"n/a",IF(F479&lt;0,"n/a",ROUND(F479/E479,1)))</f>
        <v>n/a</v>
      </c>
      <c r="H479" s="10" t="str">
        <f aca="false">IF(F479&lt;0,"Negative (check entry)",IF(OR(E479="",E479=0),IF(F479=0,"No Activity","OK"),IF(F479/E479&lt;0.5,"Low Stock",IF(F479/E479&gt;3,"Overstock","OK"))))</f>
        <v>No Activity</v>
      </c>
      <c r="I479" s="16"/>
    </row>
    <row r="480" customFormat="false" ht="15" hidden="false" customHeight="false" outlineLevel="0" collapsed="false">
      <c r="A480" s="15" t="s">
        <v>67</v>
      </c>
      <c r="B480" s="15"/>
      <c r="C480" s="15" t="s">
        <v>178</v>
      </c>
      <c r="D480" s="15" t="n">
        <v>0</v>
      </c>
      <c r="E480" s="15" t="n">
        <v>0</v>
      </c>
      <c r="F480" s="15" t="n">
        <v>0</v>
      </c>
      <c r="G480" s="10" t="str">
        <f aca="false">IF(OR(E480="",E480=0),"n/a",IF(F480&lt;0,"n/a",ROUND(F480/E480,1)))</f>
        <v>n/a</v>
      </c>
      <c r="H480" s="10" t="str">
        <f aca="false">IF(F480&lt;0,"Negative (check entry)",IF(OR(E480="",E480=0),IF(F480=0,"No Activity","OK"),IF(F480/E480&lt;0.5,"Low Stock",IF(F480/E480&gt;3,"Overstock","OK"))))</f>
        <v>No Activity</v>
      </c>
      <c r="I480" s="16"/>
    </row>
    <row r="481" customFormat="false" ht="15" hidden="false" customHeight="false" outlineLevel="0" collapsed="false">
      <c r="A481" s="15" t="s">
        <v>67</v>
      </c>
      <c r="B481" s="15"/>
      <c r="C481" s="15" t="s">
        <v>59</v>
      </c>
      <c r="D481" s="15" t="n">
        <v>24</v>
      </c>
      <c r="E481" s="15" t="n">
        <v>12</v>
      </c>
      <c r="F481" s="15" t="n">
        <v>12</v>
      </c>
      <c r="G481" s="10" t="n">
        <f aca="false">IF(OR(E481="",E481=0),"n/a",IF(F481&lt;0,"n/a",ROUND(F481/E481,1)))</f>
        <v>1</v>
      </c>
      <c r="H481" s="10" t="str">
        <f aca="false">IF(F481&lt;0,"Negative (check entry)",IF(OR(E481="",E481=0),IF(F481=0,"No Activity","OK"),IF(F481/E481&lt;0.5,"Low Stock",IF(F481/E481&gt;3,"Overstock","OK"))))</f>
        <v>OK</v>
      </c>
      <c r="I481" s="16"/>
    </row>
    <row r="482" customFormat="false" ht="15" hidden="false" customHeight="false" outlineLevel="0" collapsed="false">
      <c r="A482" s="15" t="s">
        <v>67</v>
      </c>
      <c r="B482" s="15"/>
      <c r="C482" s="15" t="s">
        <v>98</v>
      </c>
      <c r="D482" s="15" t="n">
        <v>0</v>
      </c>
      <c r="E482" s="15" t="n">
        <v>0</v>
      </c>
      <c r="F482" s="15" t="n">
        <v>0</v>
      </c>
      <c r="G482" s="10" t="str">
        <f aca="false">IF(OR(E482="",E482=0),"n/a",IF(F482&lt;0,"n/a",ROUND(F482/E482,1)))</f>
        <v>n/a</v>
      </c>
      <c r="H482" s="10" t="str">
        <f aca="false">IF(F482&lt;0,"Negative (check entry)",IF(OR(E482="",E482=0),IF(F482=0,"No Activity","OK"),IF(F482/E482&lt;0.5,"Low Stock",IF(F482/E482&gt;3,"Overstock","OK"))))</f>
        <v>No Activity</v>
      </c>
      <c r="I482" s="16"/>
    </row>
    <row r="483" customFormat="false" ht="15" hidden="false" customHeight="false" outlineLevel="0" collapsed="false">
      <c r="A483" s="15" t="s">
        <v>67</v>
      </c>
      <c r="B483" s="15"/>
      <c r="C483" s="15" t="s">
        <v>251</v>
      </c>
      <c r="D483" s="15" t="n">
        <v>312</v>
      </c>
      <c r="E483" s="15" t="n">
        <v>0</v>
      </c>
      <c r="F483" s="15" t="n">
        <v>312</v>
      </c>
      <c r="G483" s="10" t="str">
        <f aca="false">IF(OR(E483="",E483=0),"n/a",IF(F483&lt;0,"n/a",ROUND(F483/E483,1)))</f>
        <v>n/a</v>
      </c>
      <c r="H483" s="10" t="str">
        <f aca="false">IF(F483&lt;0,"Negative (check entry)",IF(OR(E483="",E483=0),IF(F483=0,"No Activity","OK"),IF(F483/E483&lt;0.5,"Low Stock",IF(F483/E483&gt;3,"Overstock","OK"))))</f>
        <v>OK</v>
      </c>
      <c r="I483" s="16"/>
    </row>
    <row r="484" customFormat="false" ht="15" hidden="false" customHeight="false" outlineLevel="0" collapsed="false">
      <c r="A484" s="15" t="s">
        <v>67</v>
      </c>
      <c r="B484" s="15"/>
      <c r="C484" s="15" t="s">
        <v>68</v>
      </c>
      <c r="D484" s="15" t="n">
        <v>0</v>
      </c>
      <c r="E484" s="15" t="n">
        <v>24</v>
      </c>
      <c r="F484" s="15" t="n">
        <v>-24</v>
      </c>
      <c r="G484" s="10" t="str">
        <f aca="false">IF(OR(E484="",E484=0),"n/a",IF(F484&lt;0,"n/a",ROUND(F484/E484,1)))</f>
        <v>n/a</v>
      </c>
      <c r="H484" s="10" t="str">
        <f aca="false">IF(F484&lt;0,"Negative (check entry)",IF(OR(E484="",E484=0),IF(F484=0,"No Activity","OK"),IF(F484/E484&lt;0.5,"Low Stock",IF(F484/E484&gt;3,"Overstock","OK"))))</f>
        <v>Negative (check entry)</v>
      </c>
      <c r="I484" s="16"/>
    </row>
    <row r="485" customFormat="false" ht="15" hidden="false" customHeight="false" outlineLevel="0" collapsed="false">
      <c r="A485" s="15" t="s">
        <v>67</v>
      </c>
      <c r="B485" s="15"/>
      <c r="C485" s="15" t="s">
        <v>38</v>
      </c>
      <c r="D485" s="15" t="n">
        <v>12</v>
      </c>
      <c r="E485" s="15" t="n">
        <v>0</v>
      </c>
      <c r="F485" s="15" t="n">
        <v>12</v>
      </c>
      <c r="G485" s="10" t="str">
        <f aca="false">IF(OR(E485="",E485=0),"n/a",IF(F485&lt;0,"n/a",ROUND(F485/E485,1)))</f>
        <v>n/a</v>
      </c>
      <c r="H485" s="10" t="str">
        <f aca="false">IF(F485&lt;0,"Negative (check entry)",IF(OR(E485="",E485=0),IF(F485=0,"No Activity","OK"),IF(F485/E485&lt;0.5,"Low Stock",IF(F485/E485&gt;3,"Overstock","OK"))))</f>
        <v>OK</v>
      </c>
      <c r="I485" s="16"/>
    </row>
    <row r="486" customFormat="false" ht="15" hidden="false" customHeight="false" outlineLevel="0" collapsed="false">
      <c r="A486" s="15" t="s">
        <v>67</v>
      </c>
      <c r="B486" s="15" t="s">
        <v>252</v>
      </c>
      <c r="C486" s="15" t="s">
        <v>86</v>
      </c>
      <c r="D486" s="15" t="n">
        <v>0</v>
      </c>
      <c r="E486" s="15" t="n">
        <v>0</v>
      </c>
      <c r="F486" s="15" t="n">
        <v>0</v>
      </c>
      <c r="G486" s="10" t="str">
        <f aca="false">IF(OR(E486="",E486=0),"n/a",IF(F486&lt;0,"n/a",ROUND(F486/E486,1)))</f>
        <v>n/a</v>
      </c>
      <c r="H486" s="10" t="str">
        <f aca="false">IF(F486&lt;0,"Negative (check entry)",IF(OR(E486="",E486=0),IF(F486=0,"No Activity","OK"),IF(F486/E486&lt;0.5,"Low Stock",IF(F486/E486&gt;3,"Overstock","OK"))))</f>
        <v>No Activity</v>
      </c>
      <c r="I486" s="16"/>
    </row>
    <row r="487" customFormat="false" ht="15" hidden="false" customHeight="false" outlineLevel="0" collapsed="false">
      <c r="A487" s="15" t="s">
        <v>67</v>
      </c>
      <c r="B487" s="15" t="s">
        <v>252</v>
      </c>
      <c r="C487" s="15" t="s">
        <v>177</v>
      </c>
      <c r="D487" s="15" t="n">
        <v>0</v>
      </c>
      <c r="E487" s="15" t="n">
        <v>0</v>
      </c>
      <c r="F487" s="15" t="n">
        <v>0</v>
      </c>
      <c r="G487" s="10" t="str">
        <f aca="false">IF(OR(E487="",E487=0),"n/a",IF(F487&lt;0,"n/a",ROUND(F487/E487,1)))</f>
        <v>n/a</v>
      </c>
      <c r="H487" s="10" t="str">
        <f aca="false">IF(F487&lt;0,"Negative (check entry)",IF(OR(E487="",E487=0),IF(F487=0,"No Activity","OK"),IF(F487/E487&lt;0.5,"Low Stock",IF(F487/E487&gt;3,"Overstock","OK"))))</f>
        <v>No Activity</v>
      </c>
      <c r="I487" s="16"/>
    </row>
    <row r="488" customFormat="false" ht="15" hidden="false" customHeight="false" outlineLevel="0" collapsed="false">
      <c r="A488" s="15" t="s">
        <v>67</v>
      </c>
      <c r="B488" s="15" t="s">
        <v>252</v>
      </c>
      <c r="C488" s="15" t="s">
        <v>118</v>
      </c>
      <c r="D488" s="15" t="n">
        <v>180</v>
      </c>
      <c r="E488" s="15" t="n">
        <v>0</v>
      </c>
      <c r="F488" s="15" t="n">
        <v>180</v>
      </c>
      <c r="G488" s="10" t="str">
        <f aca="false">IF(OR(E488="",E488=0),"n/a",IF(F488&lt;0,"n/a",ROUND(F488/E488,1)))</f>
        <v>n/a</v>
      </c>
      <c r="H488" s="10" t="str">
        <f aca="false">IF(F488&lt;0,"Negative (check entry)",IF(OR(E488="",E488=0),IF(F488=0,"No Activity","OK"),IF(F488/E488&lt;0.5,"Low Stock",IF(F488/E488&gt;3,"Overstock","OK"))))</f>
        <v>OK</v>
      </c>
      <c r="I488" s="16"/>
    </row>
    <row r="489" customFormat="false" ht="15" hidden="false" customHeight="false" outlineLevel="0" collapsed="false">
      <c r="A489" s="15" t="s">
        <v>67</v>
      </c>
      <c r="B489" s="15" t="s">
        <v>252</v>
      </c>
      <c r="C489" s="15" t="s">
        <v>38</v>
      </c>
      <c r="D489" s="15" t="n">
        <v>636</v>
      </c>
      <c r="E489" s="15" t="n">
        <v>0</v>
      </c>
      <c r="F489" s="15" t="n">
        <v>636</v>
      </c>
      <c r="G489" s="10" t="str">
        <f aca="false">IF(OR(E489="",E489=0),"n/a",IF(F489&lt;0,"n/a",ROUND(F489/E489,1)))</f>
        <v>n/a</v>
      </c>
      <c r="H489" s="10" t="str">
        <f aca="false">IF(F489&lt;0,"Negative (check entry)",IF(OR(E489="",E489=0),IF(F489=0,"No Activity","OK"),IF(F489/E489&lt;0.5,"Low Stock",IF(F489/E489&gt;3,"Overstock","OK"))))</f>
        <v>OK</v>
      </c>
      <c r="I489" s="16"/>
    </row>
    <row r="490" customFormat="false" ht="15" hidden="false" customHeight="false" outlineLevel="0" collapsed="false">
      <c r="A490" s="15" t="s">
        <v>67</v>
      </c>
      <c r="B490" s="15" t="s">
        <v>252</v>
      </c>
      <c r="C490" s="15" t="s">
        <v>73</v>
      </c>
      <c r="D490" s="15" t="n">
        <v>0</v>
      </c>
      <c r="E490" s="15" t="n">
        <v>0</v>
      </c>
      <c r="F490" s="15" t="n">
        <v>0</v>
      </c>
      <c r="G490" s="10" t="str">
        <f aca="false">IF(OR(E490="",E490=0),"n/a",IF(F490&lt;0,"n/a",ROUND(F490/E490,1)))</f>
        <v>n/a</v>
      </c>
      <c r="H490" s="10" t="str">
        <f aca="false">IF(F490&lt;0,"Negative (check entry)",IF(OR(E490="",E490=0),IF(F490=0,"No Activity","OK"),IF(F490/E490&lt;0.5,"Low Stock",IF(F490/E490&gt;3,"Overstock","OK"))))</f>
        <v>No Activity</v>
      </c>
      <c r="I490" s="16"/>
    </row>
    <row r="491" customFormat="false" ht="15" hidden="false" customHeight="false" outlineLevel="0" collapsed="false">
      <c r="A491" s="15" t="s">
        <v>67</v>
      </c>
      <c r="B491" s="15" t="s">
        <v>252</v>
      </c>
      <c r="C491" s="15" t="s">
        <v>59</v>
      </c>
      <c r="D491" s="15" t="n">
        <v>0</v>
      </c>
      <c r="E491" s="15" t="n">
        <v>0</v>
      </c>
      <c r="F491" s="15" t="n">
        <v>0</v>
      </c>
      <c r="G491" s="10" t="str">
        <f aca="false">IF(OR(E491="",E491=0),"n/a",IF(F491&lt;0,"n/a",ROUND(F491/E491,1)))</f>
        <v>n/a</v>
      </c>
      <c r="H491" s="10" t="str">
        <f aca="false">IF(F491&lt;0,"Negative (check entry)",IF(OR(E491="",E491=0),IF(F491=0,"No Activity","OK"),IF(F491/E491&lt;0.5,"Low Stock",IF(F491/E491&gt;3,"Overstock","OK"))))</f>
        <v>No Activity</v>
      </c>
      <c r="I491" s="16"/>
    </row>
    <row r="492" customFormat="false" ht="15" hidden="false" customHeight="false" outlineLevel="0" collapsed="false">
      <c r="A492" s="15" t="s">
        <v>67</v>
      </c>
      <c r="B492" s="15" t="s">
        <v>252</v>
      </c>
      <c r="C492" s="15" t="s">
        <v>127</v>
      </c>
      <c r="D492" s="15" t="n">
        <v>0</v>
      </c>
      <c r="E492" s="15" t="n">
        <v>0</v>
      </c>
      <c r="F492" s="15" t="n">
        <v>0</v>
      </c>
      <c r="G492" s="10" t="str">
        <f aca="false">IF(OR(E492="",E492=0),"n/a",IF(F492&lt;0,"n/a",ROUND(F492/E492,1)))</f>
        <v>n/a</v>
      </c>
      <c r="H492" s="10" t="str">
        <f aca="false">IF(F492&lt;0,"Negative (check entry)",IF(OR(E492="",E492=0),IF(F492=0,"No Activity","OK"),IF(F492/E492&lt;0.5,"Low Stock",IF(F492/E492&gt;3,"Overstock","OK"))))</f>
        <v>No Activity</v>
      </c>
      <c r="I492" s="16"/>
    </row>
    <row r="493" customFormat="false" ht="15" hidden="false" customHeight="false" outlineLevel="0" collapsed="false">
      <c r="A493" s="15" t="s">
        <v>67</v>
      </c>
      <c r="B493" s="15" t="s">
        <v>252</v>
      </c>
      <c r="C493" s="15" t="s">
        <v>117</v>
      </c>
      <c r="D493" s="15" t="n">
        <v>12</v>
      </c>
      <c r="E493" s="15" t="n">
        <v>0</v>
      </c>
      <c r="F493" s="15" t="n">
        <v>12</v>
      </c>
      <c r="G493" s="10" t="str">
        <f aca="false">IF(OR(E493="",E493=0),"n/a",IF(F493&lt;0,"n/a",ROUND(F493/E493,1)))</f>
        <v>n/a</v>
      </c>
      <c r="H493" s="10" t="str">
        <f aca="false">IF(F493&lt;0,"Negative (check entry)",IF(OR(E493="",E493=0),IF(F493=0,"No Activity","OK"),IF(F493/E493&lt;0.5,"Low Stock",IF(F493/E493&gt;3,"Overstock","OK"))))</f>
        <v>OK</v>
      </c>
      <c r="I493" s="16"/>
    </row>
    <row r="494" customFormat="false" ht="15" hidden="false" customHeight="false" outlineLevel="0" collapsed="false">
      <c r="A494" s="15" t="s">
        <v>67</v>
      </c>
      <c r="B494" s="15" t="s">
        <v>253</v>
      </c>
      <c r="C494" s="15" t="s">
        <v>254</v>
      </c>
      <c r="D494" s="15" t="n">
        <v>828</v>
      </c>
      <c r="E494" s="15" t="n">
        <v>348</v>
      </c>
      <c r="F494" s="15" t="n">
        <v>480</v>
      </c>
      <c r="G494" s="10" t="n">
        <f aca="false">IF(OR(E494="",E494=0),"n/a",IF(F494&lt;0,"n/a",ROUND(F494/E494,1)))</f>
        <v>1.4</v>
      </c>
      <c r="H494" s="10" t="str">
        <f aca="false">IF(F494&lt;0,"Negative (check entry)",IF(OR(E494="",E494=0),IF(F494=0,"No Activity","OK"),IF(F494/E494&lt;0.5,"Low Stock",IF(F494/E494&gt;3,"Overstock","OK"))))</f>
        <v>OK</v>
      </c>
      <c r="I494" s="16"/>
    </row>
    <row r="495" customFormat="false" ht="15" hidden="false" customHeight="false" outlineLevel="0" collapsed="false">
      <c r="A495" s="15" t="s">
        <v>67</v>
      </c>
      <c r="B495" s="15" t="s">
        <v>253</v>
      </c>
      <c r="C495" s="15" t="s">
        <v>144</v>
      </c>
      <c r="D495" s="15" t="n">
        <v>12</v>
      </c>
      <c r="E495" s="15" t="n">
        <v>0</v>
      </c>
      <c r="F495" s="15" t="n">
        <v>12</v>
      </c>
      <c r="G495" s="10" t="str">
        <f aca="false">IF(OR(E495="",E495=0),"n/a",IF(F495&lt;0,"n/a",ROUND(F495/E495,1)))</f>
        <v>n/a</v>
      </c>
      <c r="H495" s="10" t="str">
        <f aca="false">IF(F495&lt;0,"Negative (check entry)",IF(OR(E495="",E495=0),IF(F495=0,"No Activity","OK"),IF(F495/E495&lt;0.5,"Low Stock",IF(F495/E495&gt;3,"Overstock","OK"))))</f>
        <v>OK</v>
      </c>
      <c r="I495" s="16"/>
    </row>
    <row r="496" customFormat="false" ht="15" hidden="false" customHeight="false" outlineLevel="0" collapsed="false">
      <c r="A496" s="15" t="s">
        <v>67</v>
      </c>
      <c r="B496" s="15" t="s">
        <v>253</v>
      </c>
      <c r="C496" s="15" t="s">
        <v>194</v>
      </c>
      <c r="D496" s="15" t="n">
        <v>108</v>
      </c>
      <c r="E496" s="15" t="n">
        <v>0</v>
      </c>
      <c r="F496" s="15" t="n">
        <v>108</v>
      </c>
      <c r="G496" s="10" t="str">
        <f aca="false">IF(OR(E496="",E496=0),"n/a",IF(F496&lt;0,"n/a",ROUND(F496/E496,1)))</f>
        <v>n/a</v>
      </c>
      <c r="H496" s="10" t="str">
        <f aca="false">IF(F496&lt;0,"Negative (check entry)",IF(OR(E496="",E496=0),IF(F496=0,"No Activity","OK"),IF(F496/E496&lt;0.5,"Low Stock",IF(F496/E496&gt;3,"Overstock","OK"))))</f>
        <v>OK</v>
      </c>
      <c r="I496" s="16"/>
    </row>
    <row r="497" customFormat="false" ht="15" hidden="false" customHeight="false" outlineLevel="0" collapsed="false">
      <c r="A497" s="15" t="s">
        <v>67</v>
      </c>
      <c r="B497" s="15" t="s">
        <v>253</v>
      </c>
      <c r="C497" s="15" t="s">
        <v>97</v>
      </c>
      <c r="D497" s="15" t="n">
        <v>0</v>
      </c>
      <c r="E497" s="15" t="n">
        <v>396</v>
      </c>
      <c r="F497" s="15" t="n">
        <v>228</v>
      </c>
      <c r="G497" s="10" t="n">
        <f aca="false">IF(OR(E497="",E497=0),"n/a",IF(F497&lt;0,"n/a",ROUND(F497/E497,1)))</f>
        <v>0.6</v>
      </c>
      <c r="H497" s="10" t="str">
        <f aca="false">IF(F497&lt;0,"Negative (check entry)",IF(OR(E497="",E497=0),IF(F497=0,"No Activity","OK"),IF(F497/E497&lt;0.5,"Low Stock",IF(F497/E497&gt;3,"Overstock","OK"))))</f>
        <v>OK</v>
      </c>
      <c r="I497" s="16"/>
    </row>
    <row r="498" customFormat="false" ht="15" hidden="false" customHeight="false" outlineLevel="0" collapsed="false">
      <c r="A498" s="15" t="s">
        <v>67</v>
      </c>
      <c r="B498" s="15" t="s">
        <v>253</v>
      </c>
      <c r="C498" s="15" t="s">
        <v>38</v>
      </c>
      <c r="D498" s="15" t="n">
        <v>672</v>
      </c>
      <c r="E498" s="15" t="n">
        <v>228</v>
      </c>
      <c r="F498" s="15" t="n">
        <v>444</v>
      </c>
      <c r="G498" s="10" t="n">
        <f aca="false">IF(OR(E498="",E498=0),"n/a",IF(F498&lt;0,"n/a",ROUND(F498/E498,1)))</f>
        <v>1.9</v>
      </c>
      <c r="H498" s="10" t="str">
        <f aca="false">IF(F498&lt;0,"Negative (check entry)",IF(OR(E498="",E498=0),IF(F498=0,"No Activity","OK"),IF(F498/E498&lt;0.5,"Low Stock",IF(F498/E498&gt;3,"Overstock","OK"))))</f>
        <v>OK</v>
      </c>
      <c r="I498" s="16"/>
    </row>
    <row r="499" customFormat="false" ht="15" hidden="false" customHeight="false" outlineLevel="0" collapsed="false">
      <c r="A499" s="15" t="s">
        <v>67</v>
      </c>
      <c r="B499" s="15" t="s">
        <v>253</v>
      </c>
      <c r="C499" s="15" t="s">
        <v>101</v>
      </c>
      <c r="D499" s="15" t="n">
        <v>2796</v>
      </c>
      <c r="E499" s="15" t="n">
        <v>1008</v>
      </c>
      <c r="F499" s="15" t="n">
        <v>2412</v>
      </c>
      <c r="G499" s="10" t="n">
        <f aca="false">IF(OR(E499="",E499=0),"n/a",IF(F499&lt;0,"n/a",ROUND(F499/E499,1)))</f>
        <v>2.4</v>
      </c>
      <c r="H499" s="10" t="str">
        <f aca="false">IF(F499&lt;0,"Negative (check entry)",IF(OR(E499="",E499=0),IF(F499=0,"No Activity","OK"),IF(F499/E499&lt;0.5,"Low Stock",IF(F499/E499&gt;3,"Overstock","OK"))))</f>
        <v>OK</v>
      </c>
      <c r="I499" s="16"/>
    </row>
    <row r="500" customFormat="false" ht="15" hidden="false" customHeight="false" outlineLevel="0" collapsed="false">
      <c r="A500" s="15" t="s">
        <v>67</v>
      </c>
      <c r="B500" s="15" t="s">
        <v>253</v>
      </c>
      <c r="C500" s="15" t="s">
        <v>47</v>
      </c>
      <c r="D500" s="15" t="n">
        <v>0</v>
      </c>
      <c r="E500" s="15" t="n">
        <v>0</v>
      </c>
      <c r="F500" s="15" t="n">
        <v>3</v>
      </c>
      <c r="G500" s="10" t="str">
        <f aca="false">IF(OR(E500="",E500=0),"n/a",IF(F500&lt;0,"n/a",ROUND(F500/E500,1)))</f>
        <v>n/a</v>
      </c>
      <c r="H500" s="10" t="str">
        <f aca="false">IF(F500&lt;0,"Negative (check entry)",IF(OR(E500="",E500=0),IF(F500=0,"No Activity","OK"),IF(F500/E500&lt;0.5,"Low Stock",IF(F500/E500&gt;3,"Overstock","OK"))))</f>
        <v>OK</v>
      </c>
      <c r="I500" s="16"/>
    </row>
    <row r="501" customFormat="false" ht="15" hidden="false" customHeight="false" outlineLevel="0" collapsed="false">
      <c r="A501" s="15" t="s">
        <v>67</v>
      </c>
      <c r="B501" s="15" t="s">
        <v>253</v>
      </c>
      <c r="C501" s="15" t="s">
        <v>102</v>
      </c>
      <c r="D501" s="15" t="n">
        <v>2796</v>
      </c>
      <c r="E501" s="15" t="n">
        <v>1008</v>
      </c>
      <c r="F501" s="15" t="n">
        <v>2415</v>
      </c>
      <c r="G501" s="10" t="n">
        <f aca="false">IF(OR(E501="",E501=0),"n/a",IF(F501&lt;0,"n/a",ROUND(F501/E501,1)))</f>
        <v>2.4</v>
      </c>
      <c r="H501" s="10" t="str">
        <f aca="false">IF(F501&lt;0,"Negative (check entry)",IF(OR(E501="",E501=0),IF(F501=0,"No Activity","OK"),IF(F501/E501&lt;0.5,"Low Stock",IF(F501/E501&gt;3,"Overstock","OK"))))</f>
        <v>OK</v>
      </c>
      <c r="I501" s="16"/>
    </row>
    <row r="502" customFormat="false" ht="15" hidden="false" customHeight="false" outlineLevel="0" collapsed="false">
      <c r="A502" s="15" t="s">
        <v>67</v>
      </c>
      <c r="B502" s="15" t="s">
        <v>253</v>
      </c>
      <c r="C502" s="15" t="s">
        <v>172</v>
      </c>
      <c r="D502" s="15" t="n">
        <v>0</v>
      </c>
      <c r="E502" s="15" t="n">
        <v>0</v>
      </c>
      <c r="F502" s="15" t="n">
        <v>52</v>
      </c>
      <c r="G502" s="10" t="str">
        <f aca="false">IF(OR(E502="",E502=0),"n/a",IF(F502&lt;0,"n/a",ROUND(F502/E502,1)))</f>
        <v>n/a</v>
      </c>
      <c r="H502" s="10" t="str">
        <f aca="false">IF(F502&lt;0,"Negative (check entry)",IF(OR(E502="",E502=0),IF(F502=0,"No Activity","OK"),IF(F502/E502&lt;0.5,"Low Stock",IF(F502/E502&gt;3,"Overstock","OK"))))</f>
        <v>OK</v>
      </c>
      <c r="I502" s="16"/>
    </row>
    <row r="503" customFormat="false" ht="15" hidden="false" customHeight="false" outlineLevel="0" collapsed="false">
      <c r="A503" s="15" t="s">
        <v>67</v>
      </c>
      <c r="B503" s="15" t="s">
        <v>253</v>
      </c>
      <c r="C503" s="15" t="s">
        <v>104</v>
      </c>
      <c r="D503" s="15" t="n">
        <v>2796</v>
      </c>
      <c r="E503" s="15" t="n">
        <v>1008</v>
      </c>
      <c r="F503" s="15" t="n">
        <v>2467</v>
      </c>
      <c r="G503" s="10" t="n">
        <f aca="false">IF(OR(E503="",E503=0),"n/a",IF(F503&lt;0,"n/a",ROUND(F503/E503,1)))</f>
        <v>2.4</v>
      </c>
      <c r="H503" s="10" t="str">
        <f aca="false">IF(F503&lt;0,"Negative (check entry)",IF(OR(E503="",E503=0),IF(F503=0,"No Activity","OK"),IF(F503/E503&lt;0.5,"Low Stock",IF(F503/E503&gt;3,"Overstock","OK"))))</f>
        <v>OK</v>
      </c>
      <c r="I503" s="16"/>
    </row>
    <row r="504" customFormat="false" ht="15" hidden="false" customHeight="false" outlineLevel="0" collapsed="false">
      <c r="A504" s="15" t="s">
        <v>70</v>
      </c>
      <c r="B504" s="15" t="s">
        <v>71</v>
      </c>
      <c r="C504" s="15" t="s">
        <v>127</v>
      </c>
      <c r="D504" s="15" t="n">
        <v>740</v>
      </c>
      <c r="E504" s="15" t="n">
        <v>80</v>
      </c>
      <c r="F504" s="15" t="n">
        <v>660</v>
      </c>
      <c r="G504" s="10" t="n">
        <f aca="false">IF(OR(E504="",E504=0),"n/a",IF(F504&lt;0,"n/a",ROUND(F504/E504,1)))</f>
        <v>8.3</v>
      </c>
      <c r="H504" s="10" t="str">
        <f aca="false">IF(F504&lt;0,"Negative (check entry)",IF(OR(E504="",E504=0),IF(F504=0,"No Activity","OK"),IF(F504/E504&lt;0.5,"Low Stock",IF(F504/E504&gt;3,"Overstock","OK"))))</f>
        <v>Overstock</v>
      </c>
      <c r="I504" s="16"/>
    </row>
    <row r="505" customFormat="false" ht="15" hidden="false" customHeight="false" outlineLevel="0" collapsed="false">
      <c r="A505" s="15" t="s">
        <v>70</v>
      </c>
      <c r="B505" s="15" t="s">
        <v>71</v>
      </c>
      <c r="C505" s="15" t="s">
        <v>196</v>
      </c>
      <c r="D505" s="15" t="n">
        <v>0</v>
      </c>
      <c r="E505" s="15" t="n">
        <v>0</v>
      </c>
      <c r="F505" s="15" t="n">
        <v>0</v>
      </c>
      <c r="G505" s="10" t="str">
        <f aca="false">IF(OR(E505="",E505=0),"n/a",IF(F505&lt;0,"n/a",ROUND(F505/E505,1)))</f>
        <v>n/a</v>
      </c>
      <c r="H505" s="10" t="str">
        <f aca="false">IF(F505&lt;0,"Negative (check entry)",IF(OR(E505="",E505=0),IF(F505=0,"No Activity","OK"),IF(F505/E505&lt;0.5,"Low Stock",IF(F505/E505&gt;3,"Overstock","OK"))))</f>
        <v>No Activity</v>
      </c>
      <c r="I505" s="16"/>
    </row>
    <row r="506" customFormat="false" ht="15" hidden="false" customHeight="false" outlineLevel="0" collapsed="false">
      <c r="A506" s="15" t="s">
        <v>70</v>
      </c>
      <c r="B506" s="15" t="s">
        <v>71</v>
      </c>
      <c r="C506" s="15" t="s">
        <v>206</v>
      </c>
      <c r="D506" s="15" t="n">
        <v>0</v>
      </c>
      <c r="E506" s="15" t="n">
        <v>0</v>
      </c>
      <c r="F506" s="15" t="n">
        <v>0</v>
      </c>
      <c r="G506" s="10" t="str">
        <f aca="false">IF(OR(E506="",E506=0),"n/a",IF(F506&lt;0,"n/a",ROUND(F506/E506,1)))</f>
        <v>n/a</v>
      </c>
      <c r="H506" s="10" t="str">
        <f aca="false">IF(F506&lt;0,"Negative (check entry)",IF(OR(E506="",E506=0),IF(F506=0,"No Activity","OK"),IF(F506/E506&lt;0.5,"Low Stock",IF(F506/E506&gt;3,"Overstock","OK"))))</f>
        <v>No Activity</v>
      </c>
      <c r="I506" s="16"/>
    </row>
    <row r="507" customFormat="false" ht="15" hidden="false" customHeight="false" outlineLevel="0" collapsed="false">
      <c r="A507" s="15" t="s">
        <v>70</v>
      </c>
      <c r="B507" s="15" t="s">
        <v>71</v>
      </c>
      <c r="C507" s="15" t="s">
        <v>72</v>
      </c>
      <c r="D507" s="15" t="n">
        <v>20</v>
      </c>
      <c r="E507" s="15" t="n">
        <v>40</v>
      </c>
      <c r="F507" s="15" t="n">
        <v>-20</v>
      </c>
      <c r="G507" s="10" t="str">
        <f aca="false">IF(OR(E507="",E507=0),"n/a",IF(F507&lt;0,"n/a",ROUND(F507/E507,1)))</f>
        <v>n/a</v>
      </c>
      <c r="H507" s="10" t="str">
        <f aca="false">IF(F507&lt;0,"Negative (check entry)",IF(OR(E507="",E507=0),IF(F507=0,"No Activity","OK"),IF(F507/E507&lt;0.5,"Low Stock",IF(F507/E507&gt;3,"Overstock","OK"))))</f>
        <v>Negative (check entry)</v>
      </c>
      <c r="I507" s="16"/>
    </row>
    <row r="508" customFormat="false" ht="15" hidden="false" customHeight="false" outlineLevel="0" collapsed="false">
      <c r="A508" s="15" t="s">
        <v>70</v>
      </c>
      <c r="B508" s="15" t="s">
        <v>71</v>
      </c>
      <c r="C508" s="15" t="s">
        <v>207</v>
      </c>
      <c r="D508" s="15" t="n">
        <v>660</v>
      </c>
      <c r="E508" s="15" t="n">
        <v>0</v>
      </c>
      <c r="F508" s="15" t="n">
        <v>660</v>
      </c>
      <c r="G508" s="10" t="str">
        <f aca="false">IF(OR(E508="",E508=0),"n/a",IF(F508&lt;0,"n/a",ROUND(F508/E508,1)))</f>
        <v>n/a</v>
      </c>
      <c r="H508" s="10" t="str">
        <f aca="false">IF(F508&lt;0,"Negative (check entry)",IF(OR(E508="",E508=0),IF(F508=0,"No Activity","OK"),IF(F508/E508&lt;0.5,"Low Stock",IF(F508/E508&gt;3,"Overstock","OK"))))</f>
        <v>OK</v>
      </c>
      <c r="I508" s="16"/>
    </row>
    <row r="509" customFormat="false" ht="15" hidden="false" customHeight="false" outlineLevel="0" collapsed="false">
      <c r="A509" s="15" t="s">
        <v>70</v>
      </c>
      <c r="B509" s="15" t="s">
        <v>71</v>
      </c>
      <c r="C509" s="15" t="s">
        <v>52</v>
      </c>
      <c r="D509" s="15" t="n">
        <v>400</v>
      </c>
      <c r="E509" s="15" t="n">
        <v>260</v>
      </c>
      <c r="F509" s="15" t="n">
        <v>140</v>
      </c>
      <c r="G509" s="10" t="n">
        <f aca="false">IF(OR(E509="",E509=0),"n/a",IF(F509&lt;0,"n/a",ROUND(F509/E509,1)))</f>
        <v>0.5</v>
      </c>
      <c r="H509" s="10" t="str">
        <f aca="false">IF(F509&lt;0,"Negative (check entry)",IF(OR(E509="",E509=0),IF(F509=0,"No Activity","OK"),IF(F509/E509&lt;0.5,"Low Stock",IF(F509/E509&gt;3,"Overstock","OK"))))</f>
        <v>OK</v>
      </c>
      <c r="I509" s="16"/>
    </row>
    <row r="510" customFormat="false" ht="15" hidden="false" customHeight="false" outlineLevel="0" collapsed="false">
      <c r="A510" s="15" t="s">
        <v>70</v>
      </c>
      <c r="B510" s="15" t="s">
        <v>71</v>
      </c>
      <c r="C510" s="15" t="s">
        <v>99</v>
      </c>
      <c r="D510" s="15" t="n">
        <v>460</v>
      </c>
      <c r="E510" s="15" t="n">
        <v>400</v>
      </c>
      <c r="F510" s="15" t="n">
        <v>60</v>
      </c>
      <c r="G510" s="10" t="n">
        <f aca="false">IF(OR(E510="",E510=0),"n/a",IF(F510&lt;0,"n/a",ROUND(F510/E510,1)))</f>
        <v>0.2</v>
      </c>
      <c r="H510" s="10" t="str">
        <f aca="false">IF(F510&lt;0,"Negative (check entry)",IF(OR(E510="",E510=0),IF(F510=0,"No Activity","OK"),IF(F510/E510&lt;0.5,"Low Stock",IF(F510/E510&gt;3,"Overstock","OK"))))</f>
        <v>Low Stock</v>
      </c>
      <c r="I510" s="16"/>
    </row>
    <row r="511" customFormat="false" ht="15" hidden="false" customHeight="false" outlineLevel="0" collapsed="false">
      <c r="A511" s="15" t="s">
        <v>70</v>
      </c>
      <c r="B511" s="15" t="s">
        <v>71</v>
      </c>
      <c r="C511" s="15" t="s">
        <v>255</v>
      </c>
      <c r="D511" s="15" t="n">
        <v>380</v>
      </c>
      <c r="E511" s="15" t="n">
        <v>120</v>
      </c>
      <c r="F511" s="15" t="n">
        <v>260</v>
      </c>
      <c r="G511" s="10" t="n">
        <f aca="false">IF(OR(E511="",E511=0),"n/a",IF(F511&lt;0,"n/a",ROUND(F511/E511,1)))</f>
        <v>2.2</v>
      </c>
      <c r="H511" s="10" t="str">
        <f aca="false">IF(F511&lt;0,"Negative (check entry)",IF(OR(E511="",E511=0),IF(F511=0,"No Activity","OK"),IF(F511/E511&lt;0.5,"Low Stock",IF(F511/E511&gt;3,"Overstock","OK"))))</f>
        <v>OK</v>
      </c>
      <c r="I511" s="16"/>
    </row>
    <row r="512" customFormat="false" ht="15" hidden="false" customHeight="false" outlineLevel="0" collapsed="false">
      <c r="A512" s="15" t="s">
        <v>70</v>
      </c>
      <c r="B512" s="15" t="s">
        <v>71</v>
      </c>
      <c r="C512" s="15" t="s">
        <v>79</v>
      </c>
      <c r="D512" s="15" t="n">
        <v>0</v>
      </c>
      <c r="E512" s="15" t="n">
        <v>0</v>
      </c>
      <c r="F512" s="15" t="n">
        <v>0</v>
      </c>
      <c r="G512" s="10" t="str">
        <f aca="false">IF(OR(E512="",E512=0),"n/a",IF(F512&lt;0,"n/a",ROUND(F512/E512,1)))</f>
        <v>n/a</v>
      </c>
      <c r="H512" s="10" t="str">
        <f aca="false">IF(F512&lt;0,"Negative (check entry)",IF(OR(E512="",E512=0),IF(F512=0,"No Activity","OK"),IF(F512/E512&lt;0.5,"Low Stock",IF(F512/E512&gt;3,"Overstock","OK"))))</f>
        <v>No Activity</v>
      </c>
      <c r="I512" s="16"/>
    </row>
    <row r="513" customFormat="false" ht="15" hidden="false" customHeight="false" outlineLevel="0" collapsed="false">
      <c r="A513" s="15" t="s">
        <v>70</v>
      </c>
      <c r="B513" s="15" t="s">
        <v>71</v>
      </c>
      <c r="C513" s="15" t="s">
        <v>38</v>
      </c>
      <c r="D513" s="15" t="n">
        <v>0</v>
      </c>
      <c r="E513" s="15" t="n">
        <v>0</v>
      </c>
      <c r="F513" s="15" t="n">
        <v>0</v>
      </c>
      <c r="G513" s="10" t="str">
        <f aca="false">IF(OR(E513="",E513=0),"n/a",IF(F513&lt;0,"n/a",ROUND(F513/E513,1)))</f>
        <v>n/a</v>
      </c>
      <c r="H513" s="10" t="str">
        <f aca="false">IF(F513&lt;0,"Negative (check entry)",IF(OR(E513="",E513=0),IF(F513=0,"No Activity","OK"),IF(F513/E513&lt;0.5,"Low Stock",IF(F513/E513&gt;3,"Overstock","OK"))))</f>
        <v>No Activity</v>
      </c>
      <c r="I513" s="16"/>
    </row>
    <row r="514" customFormat="false" ht="15" hidden="false" customHeight="false" outlineLevel="0" collapsed="false">
      <c r="A514" s="15" t="s">
        <v>70</v>
      </c>
      <c r="B514" s="15" t="s">
        <v>71</v>
      </c>
      <c r="C514" s="15" t="s">
        <v>256</v>
      </c>
      <c r="D514" s="15" t="n">
        <v>0</v>
      </c>
      <c r="E514" s="15" t="n">
        <v>0</v>
      </c>
      <c r="F514" s="15" t="n">
        <v>0</v>
      </c>
      <c r="G514" s="10" t="str">
        <f aca="false">IF(OR(E514="",E514=0),"n/a",IF(F514&lt;0,"n/a",ROUND(F514/E514,1)))</f>
        <v>n/a</v>
      </c>
      <c r="H514" s="10" t="str">
        <f aca="false">IF(F514&lt;0,"Negative (check entry)",IF(OR(E514="",E514=0),IF(F514=0,"No Activity","OK"),IF(F514/E514&lt;0.5,"Low Stock",IF(F514/E514&gt;3,"Overstock","OK"))))</f>
        <v>No Activity</v>
      </c>
      <c r="I514" s="16"/>
    </row>
    <row r="515" customFormat="false" ht="15" hidden="false" customHeight="false" outlineLevel="0" collapsed="false">
      <c r="A515" s="15" t="s">
        <v>70</v>
      </c>
      <c r="B515" s="15" t="s">
        <v>71</v>
      </c>
      <c r="C515" s="15" t="s">
        <v>60</v>
      </c>
      <c r="D515" s="15" t="n">
        <v>120</v>
      </c>
      <c r="E515" s="15" t="n">
        <v>0</v>
      </c>
      <c r="F515" s="15" t="n">
        <v>120</v>
      </c>
      <c r="G515" s="10" t="str">
        <f aca="false">IF(OR(E515="",E515=0),"n/a",IF(F515&lt;0,"n/a",ROUND(F515/E515,1)))</f>
        <v>n/a</v>
      </c>
      <c r="H515" s="10" t="str">
        <f aca="false">IF(F515&lt;0,"Negative (check entry)",IF(OR(E515="",E515=0),IF(F515=0,"No Activity","OK"),IF(F515/E515&lt;0.5,"Low Stock",IF(F515/E515&gt;3,"Overstock","OK"))))</f>
        <v>OK</v>
      </c>
      <c r="I515" s="16"/>
    </row>
    <row r="516" customFormat="false" ht="15" hidden="false" customHeight="false" outlineLevel="0" collapsed="false">
      <c r="A516" s="15" t="s">
        <v>70</v>
      </c>
      <c r="B516" s="15" t="s">
        <v>71</v>
      </c>
      <c r="C516" s="15" t="s">
        <v>222</v>
      </c>
      <c r="D516" s="15" t="n">
        <v>0</v>
      </c>
      <c r="E516" s="15" t="n">
        <v>0</v>
      </c>
      <c r="F516" s="15" t="n">
        <v>0</v>
      </c>
      <c r="G516" s="10" t="str">
        <f aca="false">IF(OR(E516="",E516=0),"n/a",IF(F516&lt;0,"n/a",ROUND(F516/E516,1)))</f>
        <v>n/a</v>
      </c>
      <c r="H516" s="10" t="str">
        <f aca="false">IF(F516&lt;0,"Negative (check entry)",IF(OR(E516="",E516=0),IF(F516=0,"No Activity","OK"),IF(F516/E516&lt;0.5,"Low Stock",IF(F516/E516&gt;3,"Overstock","OK"))))</f>
        <v>No Activity</v>
      </c>
      <c r="I516" s="16"/>
    </row>
    <row r="517" customFormat="false" ht="15" hidden="false" customHeight="false" outlineLevel="0" collapsed="false">
      <c r="A517" s="15" t="s">
        <v>70</v>
      </c>
      <c r="B517" s="15" t="s">
        <v>71</v>
      </c>
      <c r="C517" s="15" t="s">
        <v>59</v>
      </c>
      <c r="D517" s="15" t="n">
        <v>0</v>
      </c>
      <c r="E517" s="15" t="n">
        <v>0</v>
      </c>
      <c r="F517" s="15" t="n">
        <v>0</v>
      </c>
      <c r="G517" s="10" t="str">
        <f aca="false">IF(OR(E517="",E517=0),"n/a",IF(F517&lt;0,"n/a",ROUND(F517/E517,1)))</f>
        <v>n/a</v>
      </c>
      <c r="H517" s="10" t="str">
        <f aca="false">IF(F517&lt;0,"Negative (check entry)",IF(OR(E517="",E517=0),IF(F517=0,"No Activity","OK"),IF(F517/E517&lt;0.5,"Low Stock",IF(F517/E517&gt;3,"Overstock","OK"))))</f>
        <v>No Activity</v>
      </c>
      <c r="I517" s="16"/>
    </row>
    <row r="518" customFormat="false" ht="15" hidden="false" customHeight="false" outlineLevel="0" collapsed="false">
      <c r="A518" s="15" t="s">
        <v>70</v>
      </c>
      <c r="B518" s="15" t="s">
        <v>71</v>
      </c>
      <c r="C518" s="15" t="s">
        <v>80</v>
      </c>
      <c r="D518" s="15" t="n">
        <v>0</v>
      </c>
      <c r="E518" s="15" t="n">
        <v>0</v>
      </c>
      <c r="F518" s="15" t="n">
        <v>0</v>
      </c>
      <c r="G518" s="10" t="str">
        <f aca="false">IF(OR(E518="",E518=0),"n/a",IF(F518&lt;0,"n/a",ROUND(F518/E518,1)))</f>
        <v>n/a</v>
      </c>
      <c r="H518" s="10" t="str">
        <f aca="false">IF(F518&lt;0,"Negative (check entry)",IF(OR(E518="",E518=0),IF(F518=0,"No Activity","OK"),IF(F518/E518&lt;0.5,"Low Stock",IF(F518/E518&gt;3,"Overstock","OK"))))</f>
        <v>No Activity</v>
      </c>
      <c r="I518" s="16"/>
    </row>
    <row r="519" customFormat="false" ht="15" hidden="false" customHeight="false" outlineLevel="0" collapsed="false">
      <c r="A519" s="15" t="s">
        <v>70</v>
      </c>
      <c r="B519" s="15" t="s">
        <v>71</v>
      </c>
      <c r="C519" s="15" t="s">
        <v>98</v>
      </c>
      <c r="D519" s="15" t="n">
        <v>860</v>
      </c>
      <c r="E519" s="15" t="n">
        <v>800</v>
      </c>
      <c r="F519" s="15" t="n">
        <v>60</v>
      </c>
      <c r="G519" s="10" t="n">
        <f aca="false">IF(OR(E519="",E519=0),"n/a",IF(F519&lt;0,"n/a",ROUND(F519/E519,1)))</f>
        <v>0.1</v>
      </c>
      <c r="H519" s="10" t="str">
        <f aca="false">IF(F519&lt;0,"Negative (check entry)",IF(OR(E519="",E519=0),IF(F519=0,"No Activity","OK"),IF(F519/E519&lt;0.5,"Low Stock",IF(F519/E519&gt;3,"Overstock","OK"))))</f>
        <v>Low Stock</v>
      </c>
      <c r="I519" s="16"/>
    </row>
    <row r="520" customFormat="false" ht="15" hidden="false" customHeight="false" outlineLevel="0" collapsed="false">
      <c r="A520" s="15" t="s">
        <v>70</v>
      </c>
      <c r="B520" s="15" t="s">
        <v>71</v>
      </c>
      <c r="C520" s="15" t="s">
        <v>257</v>
      </c>
      <c r="D520" s="15" t="n">
        <v>20</v>
      </c>
      <c r="E520" s="15" t="n">
        <v>0</v>
      </c>
      <c r="F520" s="15" t="n">
        <v>20</v>
      </c>
      <c r="G520" s="10" t="str">
        <f aca="false">IF(OR(E520="",E520=0),"n/a",IF(F520&lt;0,"n/a",ROUND(F520/E520,1)))</f>
        <v>n/a</v>
      </c>
      <c r="H520" s="10" t="str">
        <f aca="false">IF(F520&lt;0,"Negative (check entry)",IF(OR(E520="",E520=0),IF(F520=0,"No Activity","OK"),IF(F520/E520&lt;0.5,"Low Stock",IF(F520/E520&gt;3,"Overstock","OK"))))</f>
        <v>OK</v>
      </c>
      <c r="I520" s="16"/>
    </row>
    <row r="521" customFormat="false" ht="15" hidden="false" customHeight="false" outlineLevel="0" collapsed="false">
      <c r="A521" s="15" t="s">
        <v>70</v>
      </c>
      <c r="B521" s="15" t="s">
        <v>71</v>
      </c>
      <c r="C521" s="15" t="s">
        <v>127</v>
      </c>
      <c r="D521" s="15" t="n">
        <v>0</v>
      </c>
      <c r="E521" s="15" t="n">
        <v>0</v>
      </c>
      <c r="F521" s="15" t="n">
        <v>0</v>
      </c>
      <c r="G521" s="10" t="str">
        <f aca="false">IF(OR(E521="",E521=0),"n/a",IF(F521&lt;0,"n/a",ROUND(F521/E521,1)))</f>
        <v>n/a</v>
      </c>
      <c r="H521" s="10" t="str">
        <f aca="false">IF(F521&lt;0,"Negative (check entry)",IF(OR(E521="",E521=0),IF(F521=0,"No Activity","OK"),IF(F521/E521&lt;0.5,"Low Stock",IF(F521/E521&gt;3,"Overstock","OK"))))</f>
        <v>No Activity</v>
      </c>
      <c r="I521" s="16"/>
    </row>
    <row r="522" customFormat="false" ht="15" hidden="false" customHeight="false" outlineLevel="0" collapsed="false">
      <c r="A522" s="15" t="s">
        <v>70</v>
      </c>
      <c r="B522" s="15" t="s">
        <v>71</v>
      </c>
      <c r="C522" s="15" t="s">
        <v>107</v>
      </c>
      <c r="D522" s="15" t="n">
        <v>1420</v>
      </c>
      <c r="E522" s="15" t="n">
        <v>1100</v>
      </c>
      <c r="F522" s="15" t="n">
        <v>320</v>
      </c>
      <c r="G522" s="10" t="n">
        <f aca="false">IF(OR(E522="",E522=0),"n/a",IF(F522&lt;0,"n/a",ROUND(F522/E522,1)))</f>
        <v>0.3</v>
      </c>
      <c r="H522" s="10" t="str">
        <f aca="false">IF(F522&lt;0,"Negative (check entry)",IF(OR(E522="",E522=0),IF(F522=0,"No Activity","OK"),IF(F522/E522&lt;0.5,"Low Stock",IF(F522/E522&gt;3,"Overstock","OK"))))</f>
        <v>Low Stock</v>
      </c>
      <c r="I522" s="16"/>
    </row>
    <row r="523" customFormat="false" ht="15" hidden="false" customHeight="false" outlineLevel="0" collapsed="false">
      <c r="A523" s="15" t="s">
        <v>70</v>
      </c>
      <c r="B523" s="15" t="s">
        <v>71</v>
      </c>
      <c r="C523" s="15" t="s">
        <v>101</v>
      </c>
      <c r="D523" s="15" t="n">
        <v>5080</v>
      </c>
      <c r="E523" s="15" t="n">
        <v>2800</v>
      </c>
      <c r="F523" s="15" t="n">
        <v>2280</v>
      </c>
      <c r="G523" s="10" t="n">
        <f aca="false">IF(OR(E523="",E523=0),"n/a",IF(F523&lt;0,"n/a",ROUND(F523/E523,1)))</f>
        <v>0.8</v>
      </c>
      <c r="H523" s="10" t="str">
        <f aca="false">IF(F523&lt;0,"Negative (check entry)",IF(OR(E523="",E523=0),IF(F523=0,"No Activity","OK"),IF(F523/E523&lt;0.5,"Low Stock",IF(F523/E523&gt;3,"Overstock","OK"))))</f>
        <v>OK</v>
      </c>
      <c r="I523" s="16"/>
    </row>
    <row r="524" customFormat="false" ht="15" hidden="false" customHeight="false" outlineLevel="0" collapsed="false">
      <c r="A524" s="15" t="s">
        <v>70</v>
      </c>
      <c r="B524" s="15" t="s">
        <v>71</v>
      </c>
      <c r="C524" s="15" t="s">
        <v>47</v>
      </c>
      <c r="D524" s="15" t="n">
        <v>0</v>
      </c>
      <c r="E524" s="15" t="n">
        <v>0</v>
      </c>
      <c r="F524" s="15" t="n">
        <v>0</v>
      </c>
      <c r="G524" s="10" t="str">
        <f aca="false">IF(OR(E524="",E524=0),"n/a",IF(F524&lt;0,"n/a",ROUND(F524/E524,1)))</f>
        <v>n/a</v>
      </c>
      <c r="H524" s="10" t="str">
        <f aca="false">IF(F524&lt;0,"Negative (check entry)",IF(OR(E524="",E524=0),IF(F524=0,"No Activity","OK"),IF(F524/E524&lt;0.5,"Low Stock",IF(F524/E524&gt;3,"Overstock","OK"))))</f>
        <v>No Activity</v>
      </c>
      <c r="I524" s="16"/>
    </row>
    <row r="525" customFormat="false" ht="15" hidden="false" customHeight="false" outlineLevel="0" collapsed="false">
      <c r="A525" s="15" t="s">
        <v>70</v>
      </c>
      <c r="B525" s="15" t="s">
        <v>71</v>
      </c>
      <c r="C525" s="15" t="s">
        <v>102</v>
      </c>
      <c r="D525" s="15" t="n">
        <v>5080</v>
      </c>
      <c r="E525" s="15" t="n">
        <v>2800</v>
      </c>
      <c r="F525" s="15" t="n">
        <v>2280</v>
      </c>
      <c r="G525" s="10" t="n">
        <f aca="false">IF(OR(E525="",E525=0),"n/a",IF(F525&lt;0,"n/a",ROUND(F525/E525,1)))</f>
        <v>0.8</v>
      </c>
      <c r="H525" s="10" t="str">
        <f aca="false">IF(F525&lt;0,"Negative (check entry)",IF(OR(E525="",E525=0),IF(F525=0,"No Activity","OK"),IF(F525/E525&lt;0.5,"Low Stock",IF(F525/E525&gt;3,"Overstock","OK"))))</f>
        <v>OK</v>
      </c>
      <c r="I525" s="16"/>
    </row>
    <row r="526" customFormat="false" ht="15" hidden="false" customHeight="false" outlineLevel="0" collapsed="false">
      <c r="A526" s="15" t="s">
        <v>70</v>
      </c>
      <c r="B526" s="15" t="s">
        <v>71</v>
      </c>
      <c r="C526" s="15" t="s">
        <v>172</v>
      </c>
      <c r="D526" s="15" t="n">
        <v>0</v>
      </c>
      <c r="E526" s="15" t="n">
        <v>0</v>
      </c>
      <c r="F526" s="15" t="n">
        <v>0</v>
      </c>
      <c r="G526" s="10" t="str">
        <f aca="false">IF(OR(E526="",E526=0),"n/a",IF(F526&lt;0,"n/a",ROUND(F526/E526,1)))</f>
        <v>n/a</v>
      </c>
      <c r="H526" s="10" t="str">
        <f aca="false">IF(F526&lt;0,"Negative (check entry)",IF(OR(E526="",E526=0),IF(F526=0,"No Activity","OK"),IF(F526/E526&lt;0.5,"Low Stock",IF(F526/E526&gt;3,"Overstock","OK"))))</f>
        <v>No Activity</v>
      </c>
      <c r="I526" s="16"/>
    </row>
    <row r="527" customFormat="false" ht="15" hidden="false" customHeight="false" outlineLevel="0" collapsed="false">
      <c r="A527" s="15" t="s">
        <v>70</v>
      </c>
      <c r="B527" s="15" t="s">
        <v>71</v>
      </c>
      <c r="C527" s="15" t="s">
        <v>104</v>
      </c>
      <c r="D527" s="15" t="n">
        <v>5080</v>
      </c>
      <c r="E527" s="15" t="n">
        <v>2800</v>
      </c>
      <c r="F527" s="15" t="n">
        <v>2280</v>
      </c>
      <c r="G527" s="10" t="n">
        <f aca="false">IF(OR(E527="",E527=0),"n/a",IF(F527&lt;0,"n/a",ROUND(F527/E527,1)))</f>
        <v>0.8</v>
      </c>
      <c r="H527" s="10" t="str">
        <f aca="false">IF(F527&lt;0,"Negative (check entry)",IF(OR(E527="",E527=0),IF(F527=0,"No Activity","OK"),IF(F527/E527&lt;0.5,"Low Stock",IF(F527/E527&gt;3,"Overstock","OK"))))</f>
        <v>OK</v>
      </c>
      <c r="I527" s="16"/>
    </row>
    <row r="528" customFormat="false" ht="15" hidden="false" customHeight="false" outlineLevel="0" collapsed="false">
      <c r="A528" s="15" t="s">
        <v>258</v>
      </c>
      <c r="B528" s="15" t="s">
        <v>259</v>
      </c>
      <c r="C528" s="15" t="s">
        <v>79</v>
      </c>
      <c r="D528" s="15" t="n">
        <v>0</v>
      </c>
      <c r="E528" s="15" t="n">
        <v>0</v>
      </c>
      <c r="F528" s="15" t="n">
        <v>0</v>
      </c>
      <c r="G528" s="10" t="str">
        <f aca="false">IF(OR(E528="",E528=0),"n/a",IF(F528&lt;0,"n/a",ROUND(F528/E528,1)))</f>
        <v>n/a</v>
      </c>
      <c r="H528" s="10" t="str">
        <f aca="false">IF(F528&lt;0,"Negative (check entry)",IF(OR(E528="",E528=0),IF(F528=0,"No Activity","OK"),IF(F528/E528&lt;0.5,"Low Stock",IF(F528/E528&gt;3,"Overstock","OK"))))</f>
        <v>No Activity</v>
      </c>
      <c r="I528" s="16"/>
    </row>
    <row r="529" customFormat="false" ht="15" hidden="false" customHeight="false" outlineLevel="0" collapsed="false">
      <c r="A529" s="15" t="s">
        <v>258</v>
      </c>
      <c r="B529" s="15" t="s">
        <v>259</v>
      </c>
      <c r="C529" s="15" t="s">
        <v>260</v>
      </c>
      <c r="D529" s="15" t="n">
        <v>552</v>
      </c>
      <c r="E529" s="15" t="n">
        <v>0</v>
      </c>
      <c r="F529" s="15" t="n">
        <v>552</v>
      </c>
      <c r="G529" s="10" t="str">
        <f aca="false">IF(OR(E529="",E529=0),"n/a",IF(F529&lt;0,"n/a",ROUND(F529/E529,1)))</f>
        <v>n/a</v>
      </c>
      <c r="H529" s="10" t="str">
        <f aca="false">IF(F529&lt;0,"Negative (check entry)",IF(OR(E529="",E529=0),IF(F529=0,"No Activity","OK"),IF(F529/E529&lt;0.5,"Low Stock",IF(F529/E529&gt;3,"Overstock","OK"))))</f>
        <v>OK</v>
      </c>
      <c r="I529" s="16"/>
    </row>
    <row r="530" customFormat="false" ht="15" hidden="false" customHeight="false" outlineLevel="0" collapsed="false">
      <c r="A530" s="15" t="s">
        <v>258</v>
      </c>
      <c r="B530" s="15" t="s">
        <v>259</v>
      </c>
      <c r="C530" s="15" t="s">
        <v>154</v>
      </c>
      <c r="D530" s="15" t="n">
        <v>660</v>
      </c>
      <c r="E530" s="15" t="n">
        <v>0</v>
      </c>
      <c r="F530" s="15" t="n">
        <v>660</v>
      </c>
      <c r="G530" s="10" t="str">
        <f aca="false">IF(OR(E530="",E530=0),"n/a",IF(F530&lt;0,"n/a",ROUND(F530/E530,1)))</f>
        <v>n/a</v>
      </c>
      <c r="H530" s="10" t="str">
        <f aca="false">IF(F530&lt;0,"Negative (check entry)",IF(OR(E530="",E530=0),IF(F530=0,"No Activity","OK"),IF(F530/E530&lt;0.5,"Low Stock",IF(F530/E530&gt;3,"Overstock","OK"))))</f>
        <v>OK</v>
      </c>
      <c r="I530" s="16"/>
    </row>
    <row r="531" customFormat="false" ht="15" hidden="false" customHeight="false" outlineLevel="0" collapsed="false">
      <c r="A531" s="15" t="s">
        <v>258</v>
      </c>
      <c r="B531" s="15" t="s">
        <v>259</v>
      </c>
      <c r="C531" s="15" t="s">
        <v>155</v>
      </c>
      <c r="D531" s="15" t="n">
        <v>0</v>
      </c>
      <c r="E531" s="15" t="n">
        <v>0</v>
      </c>
      <c r="F531" s="15" t="n">
        <v>0</v>
      </c>
      <c r="G531" s="10" t="str">
        <f aca="false">IF(OR(E531="",E531=0),"n/a",IF(F531&lt;0,"n/a",ROUND(F531/E531,1)))</f>
        <v>n/a</v>
      </c>
      <c r="H531" s="10" t="str">
        <f aca="false">IF(F531&lt;0,"Negative (check entry)",IF(OR(E531="",E531=0),IF(F531=0,"No Activity","OK"),IF(F531/E531&lt;0.5,"Low Stock",IF(F531/E531&gt;3,"Overstock","OK"))))</f>
        <v>No Activity</v>
      </c>
      <c r="I531" s="16"/>
    </row>
    <row r="532" customFormat="false" ht="15" hidden="false" customHeight="false" outlineLevel="0" collapsed="false">
      <c r="A532" s="15" t="s">
        <v>258</v>
      </c>
      <c r="B532" s="15" t="s">
        <v>259</v>
      </c>
      <c r="C532" s="15" t="s">
        <v>41</v>
      </c>
      <c r="D532" s="15" t="n">
        <v>0</v>
      </c>
      <c r="E532" s="15" t="n">
        <v>228</v>
      </c>
      <c r="F532" s="15" t="n">
        <v>576</v>
      </c>
      <c r="G532" s="10" t="n">
        <f aca="false">IF(OR(E532="",E532=0),"n/a",IF(F532&lt;0,"n/a",ROUND(F532/E532,1)))</f>
        <v>2.5</v>
      </c>
      <c r="H532" s="10" t="str">
        <f aca="false">IF(F532&lt;0,"Negative (check entry)",IF(OR(E532="",E532=0),IF(F532=0,"No Activity","OK"),IF(F532/E532&lt;0.5,"Low Stock",IF(F532/E532&gt;3,"Overstock","OK"))))</f>
        <v>OK</v>
      </c>
      <c r="I532" s="16"/>
    </row>
    <row r="533" customFormat="false" ht="15" hidden="false" customHeight="false" outlineLevel="0" collapsed="false">
      <c r="A533" s="15" t="s">
        <v>258</v>
      </c>
      <c r="B533" s="15" t="s">
        <v>259</v>
      </c>
      <c r="C533" s="15" t="s">
        <v>52</v>
      </c>
      <c r="D533" s="15" t="n">
        <v>276</v>
      </c>
      <c r="E533" s="15" t="n">
        <v>36</v>
      </c>
      <c r="F533" s="15" t="n">
        <v>240</v>
      </c>
      <c r="G533" s="10" t="n">
        <f aca="false">IF(OR(E533="",E533=0),"n/a",IF(F533&lt;0,"n/a",ROUND(F533/E533,1)))</f>
        <v>6.7</v>
      </c>
      <c r="H533" s="10" t="str">
        <f aca="false">IF(F533&lt;0,"Negative (check entry)",IF(OR(E533="",E533=0),IF(F533=0,"No Activity","OK"),IF(F533/E533&lt;0.5,"Low Stock",IF(F533/E533&gt;3,"Overstock","OK"))))</f>
        <v>Overstock</v>
      </c>
      <c r="I533" s="16"/>
    </row>
    <row r="534" customFormat="false" ht="15" hidden="false" customHeight="false" outlineLevel="0" collapsed="false">
      <c r="A534" s="15" t="s">
        <v>258</v>
      </c>
      <c r="B534" s="15" t="s">
        <v>259</v>
      </c>
      <c r="C534" s="15" t="s">
        <v>156</v>
      </c>
      <c r="D534" s="15" t="n">
        <v>0</v>
      </c>
      <c r="E534" s="15" t="n">
        <v>0</v>
      </c>
      <c r="F534" s="15" t="n">
        <v>0</v>
      </c>
      <c r="G534" s="10" t="str">
        <f aca="false">IF(OR(E534="",E534=0),"n/a",IF(F534&lt;0,"n/a",ROUND(F534/E534,1)))</f>
        <v>n/a</v>
      </c>
      <c r="H534" s="10" t="str">
        <f aca="false">IF(F534&lt;0,"Negative (check entry)",IF(OR(E534="",E534=0),IF(F534=0,"No Activity","OK"),IF(F534/E534&lt;0.5,"Low Stock",IF(F534/E534&gt;3,"Overstock","OK"))))</f>
        <v>No Activity</v>
      </c>
      <c r="I534" s="16"/>
    </row>
    <row r="535" customFormat="false" ht="15" hidden="false" customHeight="false" outlineLevel="0" collapsed="false">
      <c r="A535" s="15" t="s">
        <v>258</v>
      </c>
      <c r="B535" s="15" t="s">
        <v>259</v>
      </c>
      <c r="C535" s="15" t="s">
        <v>82</v>
      </c>
      <c r="D535" s="15" t="n">
        <v>0</v>
      </c>
      <c r="E535" s="15" t="n">
        <v>36</v>
      </c>
      <c r="F535" s="15" t="n">
        <v>228</v>
      </c>
      <c r="G535" s="10" t="n">
        <f aca="false">IF(OR(E535="",E535=0),"n/a",IF(F535&lt;0,"n/a",ROUND(F535/E535,1)))</f>
        <v>6.3</v>
      </c>
      <c r="H535" s="10" t="str">
        <f aca="false">IF(F535&lt;0,"Negative (check entry)",IF(OR(E535="",E535=0),IF(F535=0,"No Activity","OK"),IF(F535/E535&lt;0.5,"Low Stock",IF(F535/E535&gt;3,"Overstock","OK"))))</f>
        <v>Overstock</v>
      </c>
      <c r="I535" s="16"/>
    </row>
    <row r="536" customFormat="false" ht="15" hidden="false" customHeight="false" outlineLevel="0" collapsed="false">
      <c r="A536" s="15" t="s">
        <v>258</v>
      </c>
      <c r="B536" s="15" t="s">
        <v>259</v>
      </c>
      <c r="C536" s="15" t="s">
        <v>98</v>
      </c>
      <c r="D536" s="15" t="n">
        <v>0</v>
      </c>
      <c r="E536" s="15" t="n">
        <v>192</v>
      </c>
      <c r="F536" s="15" t="n">
        <v>504</v>
      </c>
      <c r="G536" s="10" t="n">
        <f aca="false">IF(OR(E536="",E536=0),"n/a",IF(F536&lt;0,"n/a",ROUND(F536/E536,1)))</f>
        <v>2.6</v>
      </c>
      <c r="H536" s="10" t="str">
        <f aca="false">IF(F536&lt;0,"Negative (check entry)",IF(OR(E536="",E536=0),IF(F536=0,"No Activity","OK"),IF(F536/E536&lt;0.5,"Low Stock",IF(F536/E536&gt;3,"Overstock","OK"))))</f>
        <v>OK</v>
      </c>
      <c r="I536" s="16"/>
    </row>
    <row r="537" customFormat="false" ht="15" hidden="false" customHeight="false" outlineLevel="0" collapsed="false">
      <c r="A537" s="15" t="s">
        <v>258</v>
      </c>
      <c r="B537" s="15" t="s">
        <v>259</v>
      </c>
      <c r="C537" s="15" t="s">
        <v>59</v>
      </c>
      <c r="D537" s="15" t="n">
        <v>0</v>
      </c>
      <c r="E537" s="15" t="n">
        <v>48</v>
      </c>
      <c r="F537" s="15" t="n">
        <v>312</v>
      </c>
      <c r="G537" s="10" t="n">
        <f aca="false">IF(OR(E537="",E537=0),"n/a",IF(F537&lt;0,"n/a",ROUND(F537/E537,1)))</f>
        <v>6.5</v>
      </c>
      <c r="H537" s="10" t="str">
        <f aca="false">IF(F537&lt;0,"Negative (check entry)",IF(OR(E537="",E537=0),IF(F537=0,"No Activity","OK"),IF(F537/E537&lt;0.5,"Low Stock",IF(F537/E537&gt;3,"Overstock","OK"))))</f>
        <v>Overstock</v>
      </c>
      <c r="I537" s="16"/>
    </row>
    <row r="538" customFormat="false" ht="15" hidden="false" customHeight="false" outlineLevel="0" collapsed="false">
      <c r="A538" s="15" t="s">
        <v>258</v>
      </c>
      <c r="B538" s="15" t="s">
        <v>259</v>
      </c>
      <c r="C538" s="15" t="s">
        <v>73</v>
      </c>
      <c r="D538" s="15" t="n">
        <v>444</v>
      </c>
      <c r="E538" s="15" t="n">
        <v>36</v>
      </c>
      <c r="F538" s="15" t="n">
        <v>408</v>
      </c>
      <c r="G538" s="10" t="n">
        <f aca="false">IF(OR(E538="",E538=0),"n/a",IF(F538&lt;0,"n/a",ROUND(F538/E538,1)))</f>
        <v>11.3</v>
      </c>
      <c r="H538" s="10" t="str">
        <f aca="false">IF(F538&lt;0,"Negative (check entry)",IF(OR(E538="",E538=0),IF(F538=0,"No Activity","OK"),IF(F538/E538&lt;0.5,"Low Stock",IF(F538/E538&gt;3,"Overstock","OK"))))</f>
        <v>Overstock</v>
      </c>
      <c r="I538" s="16"/>
    </row>
    <row r="539" customFormat="false" ht="15" hidden="false" customHeight="false" outlineLevel="0" collapsed="false">
      <c r="A539" s="15" t="s">
        <v>258</v>
      </c>
      <c r="B539" s="15" t="s">
        <v>259</v>
      </c>
      <c r="C539" s="15" t="s">
        <v>119</v>
      </c>
      <c r="D539" s="15" t="n">
        <v>0</v>
      </c>
      <c r="E539" s="15" t="n">
        <v>0</v>
      </c>
      <c r="F539" s="15" t="n">
        <v>0</v>
      </c>
      <c r="G539" s="10" t="str">
        <f aca="false">IF(OR(E539="",E539=0),"n/a",IF(F539&lt;0,"n/a",ROUND(F539/E539,1)))</f>
        <v>n/a</v>
      </c>
      <c r="H539" s="10" t="str">
        <f aca="false">IF(F539&lt;0,"Negative (check entry)",IF(OR(E539="",E539=0),IF(F539=0,"No Activity","OK"),IF(F539/E539&lt;0.5,"Low Stock",IF(F539/E539&gt;3,"Overstock","OK"))))</f>
        <v>No Activity</v>
      </c>
      <c r="I539" s="16"/>
    </row>
    <row r="540" customFormat="false" ht="15" hidden="false" customHeight="false" outlineLevel="0" collapsed="false">
      <c r="A540" s="15" t="s">
        <v>258</v>
      </c>
      <c r="B540" s="15" t="s">
        <v>259</v>
      </c>
      <c r="C540" s="15" t="s">
        <v>42</v>
      </c>
      <c r="D540" s="15" t="n">
        <v>0</v>
      </c>
      <c r="E540" s="15" t="n">
        <v>0</v>
      </c>
      <c r="F540" s="15" t="n">
        <v>0</v>
      </c>
      <c r="G540" s="10" t="str">
        <f aca="false">IF(OR(E540="",E540=0),"n/a",IF(F540&lt;0,"n/a",ROUND(F540/E540,1)))</f>
        <v>n/a</v>
      </c>
      <c r="H540" s="10" t="str">
        <f aca="false">IF(F540&lt;0,"Negative (check entry)",IF(OR(E540="",E540=0),IF(F540=0,"No Activity","OK"),IF(F540/E540&lt;0.5,"Low Stock",IF(F540/E540&gt;3,"Overstock","OK"))))</f>
        <v>No Activity</v>
      </c>
      <c r="I540" s="16"/>
    </row>
    <row r="541" customFormat="false" ht="15" hidden="false" customHeight="false" outlineLevel="0" collapsed="false">
      <c r="A541" s="15" t="s">
        <v>258</v>
      </c>
      <c r="B541" s="15" t="s">
        <v>259</v>
      </c>
      <c r="C541" s="15" t="s">
        <v>80</v>
      </c>
      <c r="D541" s="15" t="n">
        <v>0</v>
      </c>
      <c r="E541" s="15" t="n">
        <v>0</v>
      </c>
      <c r="F541" s="15" t="n">
        <v>0</v>
      </c>
      <c r="G541" s="10" t="str">
        <f aca="false">IF(OR(E541="",E541=0),"n/a",IF(F541&lt;0,"n/a",ROUND(F541/E541,1)))</f>
        <v>n/a</v>
      </c>
      <c r="H541" s="10" t="str">
        <f aca="false">IF(F541&lt;0,"Negative (check entry)",IF(OR(E541="",E541=0),IF(F541=0,"No Activity","OK"),IF(F541/E541&lt;0.5,"Low Stock",IF(F541/E541&gt;3,"Overstock","OK"))))</f>
        <v>No Activity</v>
      </c>
      <c r="I541" s="16"/>
    </row>
    <row r="542" customFormat="false" ht="15" hidden="false" customHeight="false" outlineLevel="0" collapsed="false">
      <c r="A542" s="15" t="s">
        <v>258</v>
      </c>
      <c r="B542" s="15" t="s">
        <v>259</v>
      </c>
      <c r="C542" s="15" t="s">
        <v>38</v>
      </c>
      <c r="D542" s="15" t="n">
        <v>0</v>
      </c>
      <c r="E542" s="15" t="n">
        <v>204</v>
      </c>
      <c r="F542" s="15" t="n">
        <v>192</v>
      </c>
      <c r="G542" s="10" t="n">
        <f aca="false">IF(OR(E542="",E542=0),"n/a",IF(F542&lt;0,"n/a",ROUND(F542/E542,1)))</f>
        <v>0.9</v>
      </c>
      <c r="H542" s="10" t="str">
        <f aca="false">IF(F542&lt;0,"Negative (check entry)",IF(OR(E542="",E542=0),IF(F542=0,"No Activity","OK"),IF(F542/E542&lt;0.5,"Low Stock",IF(F542/E542&gt;3,"Overstock","OK"))))</f>
        <v>OK</v>
      </c>
      <c r="I542" s="16"/>
    </row>
    <row r="543" customFormat="false" ht="15" hidden="false" customHeight="false" outlineLevel="0" collapsed="false">
      <c r="A543" s="15" t="s">
        <v>258</v>
      </c>
      <c r="B543" s="15" t="s">
        <v>259</v>
      </c>
      <c r="C543" s="15" t="s">
        <v>101</v>
      </c>
      <c r="D543" s="15" t="n">
        <v>1932</v>
      </c>
      <c r="E543" s="15" t="n">
        <v>780</v>
      </c>
      <c r="F543" s="15" t="n">
        <v>3672</v>
      </c>
      <c r="G543" s="10" t="n">
        <f aca="false">IF(OR(E543="",E543=0),"n/a",IF(F543&lt;0,"n/a",ROUND(F543/E543,1)))</f>
        <v>4.7</v>
      </c>
      <c r="H543" s="10" t="str">
        <f aca="false">IF(F543&lt;0,"Negative (check entry)",IF(OR(E543="",E543=0),IF(F543=0,"No Activity","OK"),IF(F543/E543&lt;0.5,"Low Stock",IF(F543/E543&gt;3,"Overstock","OK"))))</f>
        <v>Overstock</v>
      </c>
      <c r="I543" s="16"/>
    </row>
    <row r="544" customFormat="false" ht="15" hidden="false" customHeight="false" outlineLevel="0" collapsed="false">
      <c r="A544" s="15" t="s">
        <v>258</v>
      </c>
      <c r="B544" s="15" t="s">
        <v>259</v>
      </c>
      <c r="C544" s="15" t="s">
        <v>149</v>
      </c>
      <c r="D544" s="15" t="n">
        <v>0</v>
      </c>
      <c r="E544" s="15" t="n">
        <v>0</v>
      </c>
      <c r="F544" s="15" t="n">
        <v>17</v>
      </c>
      <c r="G544" s="10" t="str">
        <f aca="false">IF(OR(E544="",E544=0),"n/a",IF(F544&lt;0,"n/a",ROUND(F544/E544,1)))</f>
        <v>n/a</v>
      </c>
      <c r="H544" s="10" t="str">
        <f aca="false">IF(F544&lt;0,"Negative (check entry)",IF(OR(E544="",E544=0),IF(F544=0,"No Activity","OK"),IF(F544/E544&lt;0.5,"Low Stock",IF(F544/E544&gt;3,"Overstock","OK"))))</f>
        <v>OK</v>
      </c>
      <c r="I544" s="16"/>
    </row>
    <row r="545" customFormat="false" ht="15" hidden="false" customHeight="false" outlineLevel="0" collapsed="false">
      <c r="A545" s="15" t="s">
        <v>258</v>
      </c>
      <c r="B545" s="15" t="s">
        <v>259</v>
      </c>
      <c r="C545" s="15" t="s">
        <v>102</v>
      </c>
      <c r="D545" s="15" t="n">
        <v>1932</v>
      </c>
      <c r="E545" s="15" t="n">
        <v>780</v>
      </c>
      <c r="F545" s="15" t="n">
        <v>3689</v>
      </c>
      <c r="G545" s="10" t="n">
        <f aca="false">IF(OR(E545="",E545=0),"n/a",IF(F545&lt;0,"n/a",ROUND(F545/E545,1)))</f>
        <v>4.7</v>
      </c>
      <c r="H545" s="10" t="str">
        <f aca="false">IF(F545&lt;0,"Negative (check entry)",IF(OR(E545="",E545=0),IF(F545=0,"No Activity","OK"),IF(F545/E545&lt;0.5,"Low Stock",IF(F545/E545&gt;3,"Overstock","OK"))))</f>
        <v>Overstock</v>
      </c>
      <c r="I545" s="16"/>
    </row>
    <row r="546" customFormat="false" ht="15" hidden="false" customHeight="false" outlineLevel="0" collapsed="false">
      <c r="A546" s="15" t="s">
        <v>258</v>
      </c>
      <c r="B546" s="15" t="s">
        <v>259</v>
      </c>
      <c r="C546" s="15" t="s">
        <v>150</v>
      </c>
      <c r="D546" s="15" t="n">
        <v>0</v>
      </c>
      <c r="E546" s="15" t="n">
        <v>0</v>
      </c>
      <c r="F546" s="15" t="n">
        <v>107</v>
      </c>
      <c r="G546" s="10" t="str">
        <f aca="false">IF(OR(E546="",E546=0),"n/a",IF(F546&lt;0,"n/a",ROUND(F546/E546,1)))</f>
        <v>n/a</v>
      </c>
      <c r="H546" s="10" t="str">
        <f aca="false">IF(F546&lt;0,"Negative (check entry)",IF(OR(E546="",E546=0),IF(F546=0,"No Activity","OK"),IF(F546/E546&lt;0.5,"Low Stock",IF(F546/E546&gt;3,"Overstock","OK"))))</f>
        <v>OK</v>
      </c>
      <c r="I546" s="16"/>
    </row>
    <row r="547" customFormat="false" ht="15" hidden="false" customHeight="false" outlineLevel="0" collapsed="false">
      <c r="A547" s="15" t="s">
        <v>258</v>
      </c>
      <c r="B547" s="15" t="s">
        <v>259</v>
      </c>
      <c r="C547" s="15" t="s">
        <v>104</v>
      </c>
      <c r="D547" s="15" t="n">
        <v>1932</v>
      </c>
      <c r="E547" s="15" t="n">
        <v>780</v>
      </c>
      <c r="F547" s="15" t="n">
        <v>3796</v>
      </c>
      <c r="G547" s="10" t="n">
        <f aca="false">IF(OR(E547="",E547=0),"n/a",IF(F547&lt;0,"n/a",ROUND(F547/E547,1)))</f>
        <v>4.9</v>
      </c>
      <c r="H547" s="10" t="str">
        <f aca="false">IF(F547&lt;0,"Negative (check entry)",IF(OR(E547="",E547=0),IF(F547=0,"No Activity","OK"),IF(F547/E547&lt;0.5,"Low Stock",IF(F547/E547&gt;3,"Overstock","OK"))))</f>
        <v>Overstock</v>
      </c>
      <c r="I547" s="16"/>
    </row>
    <row r="548" customFormat="false" ht="15" hidden="false" customHeight="false" outlineLevel="0" collapsed="false">
      <c r="A548" s="15" t="s">
        <v>62</v>
      </c>
      <c r="B548" s="15" t="s">
        <v>62</v>
      </c>
      <c r="C548" s="15" t="s">
        <v>127</v>
      </c>
      <c r="D548" s="15" t="n">
        <v>120</v>
      </c>
      <c r="E548" s="15" t="n">
        <v>0</v>
      </c>
      <c r="F548" s="15" t="n">
        <v>120</v>
      </c>
      <c r="G548" s="10" t="str">
        <f aca="false">IF(OR(E548="",E548=0),"n/a",IF(F548&lt;0,"n/a",ROUND(F548/E548,1)))</f>
        <v>n/a</v>
      </c>
      <c r="H548" s="10" t="str">
        <f aca="false">IF(F548&lt;0,"Negative (check entry)",IF(OR(E548="",E548=0),IF(F548=0,"No Activity","OK"),IF(F548/E548&lt;0.5,"Low Stock",IF(F548/E548&gt;3,"Overstock","OK"))))</f>
        <v>OK</v>
      </c>
      <c r="I548" s="16"/>
    </row>
    <row r="549" customFormat="false" ht="15" hidden="false" customHeight="false" outlineLevel="0" collapsed="false">
      <c r="A549" s="15" t="s">
        <v>62</v>
      </c>
      <c r="B549" s="15" t="s">
        <v>62</v>
      </c>
      <c r="C549" s="15" t="s">
        <v>205</v>
      </c>
      <c r="D549" s="15" t="n">
        <v>0</v>
      </c>
      <c r="E549" s="15" t="n">
        <v>0</v>
      </c>
      <c r="F549" s="15" t="n">
        <v>0</v>
      </c>
      <c r="G549" s="10" t="str">
        <f aca="false">IF(OR(E549="",E549=0),"n/a",IF(F549&lt;0,"n/a",ROUND(F549/E549,1)))</f>
        <v>n/a</v>
      </c>
      <c r="H549" s="10" t="str">
        <f aca="false">IF(F549&lt;0,"Negative (check entry)",IF(OR(E549="",E549=0),IF(F549=0,"No Activity","OK"),IF(F549/E549&lt;0.5,"Low Stock",IF(F549/E549&gt;3,"Overstock","OK"))))</f>
        <v>No Activity</v>
      </c>
      <c r="I549" s="16"/>
    </row>
    <row r="550" customFormat="false" ht="15" hidden="false" customHeight="false" outlineLevel="0" collapsed="false">
      <c r="A550" s="15" t="s">
        <v>62</v>
      </c>
      <c r="B550" s="15" t="s">
        <v>62</v>
      </c>
      <c r="C550" s="15" t="s">
        <v>206</v>
      </c>
      <c r="D550" s="15" t="n">
        <v>0</v>
      </c>
      <c r="E550" s="15" t="n">
        <v>0</v>
      </c>
      <c r="F550" s="15" t="n">
        <v>0</v>
      </c>
      <c r="G550" s="10" t="str">
        <f aca="false">IF(OR(E550="",E550=0),"n/a",IF(F550&lt;0,"n/a",ROUND(F550/E550,1)))</f>
        <v>n/a</v>
      </c>
      <c r="H550" s="10" t="str">
        <f aca="false">IF(F550&lt;0,"Negative (check entry)",IF(OR(E550="",E550=0),IF(F550=0,"No Activity","OK"),IF(F550/E550&lt;0.5,"Low Stock",IF(F550/E550&gt;3,"Overstock","OK"))))</f>
        <v>No Activity</v>
      </c>
      <c r="I550" s="16"/>
    </row>
    <row r="551" customFormat="false" ht="15" hidden="false" customHeight="false" outlineLevel="0" collapsed="false">
      <c r="A551" s="15" t="s">
        <v>62</v>
      </c>
      <c r="B551" s="15" t="s">
        <v>62</v>
      </c>
      <c r="C551" s="15" t="s">
        <v>72</v>
      </c>
      <c r="D551" s="15" t="n">
        <v>0</v>
      </c>
      <c r="E551" s="15" t="n">
        <v>0</v>
      </c>
      <c r="F551" s="15" t="n">
        <v>0</v>
      </c>
      <c r="G551" s="10" t="str">
        <f aca="false">IF(OR(E551="",E551=0),"n/a",IF(F551&lt;0,"n/a",ROUND(F551/E551,1)))</f>
        <v>n/a</v>
      </c>
      <c r="H551" s="10" t="str">
        <f aca="false">IF(F551&lt;0,"Negative (check entry)",IF(OR(E551="",E551=0),IF(F551=0,"No Activity","OK"),IF(F551/E551&lt;0.5,"Low Stock",IF(F551/E551&gt;3,"Overstock","OK"))))</f>
        <v>No Activity</v>
      </c>
      <c r="I551" s="16"/>
    </row>
    <row r="552" customFormat="false" ht="15" hidden="false" customHeight="false" outlineLevel="0" collapsed="false">
      <c r="A552" s="15" t="s">
        <v>62</v>
      </c>
      <c r="B552" s="15" t="s">
        <v>62</v>
      </c>
      <c r="C552" s="15" t="s">
        <v>207</v>
      </c>
      <c r="D552" s="15" t="n">
        <v>0</v>
      </c>
      <c r="E552" s="15" t="n">
        <v>0</v>
      </c>
      <c r="F552" s="15" t="n">
        <v>0</v>
      </c>
      <c r="G552" s="10" t="str">
        <f aca="false">IF(OR(E552="",E552=0),"n/a",IF(F552&lt;0,"n/a",ROUND(F552/E552,1)))</f>
        <v>n/a</v>
      </c>
      <c r="H552" s="10" t="str">
        <f aca="false">IF(F552&lt;0,"Negative (check entry)",IF(OR(E552="",E552=0),IF(F552=0,"No Activity","OK"),IF(F552/E552&lt;0.5,"Low Stock",IF(F552/E552&gt;3,"Overstock","OK"))))</f>
        <v>No Activity</v>
      </c>
      <c r="I552" s="16"/>
    </row>
    <row r="553" customFormat="false" ht="15" hidden="false" customHeight="false" outlineLevel="0" collapsed="false">
      <c r="A553" s="15" t="s">
        <v>62</v>
      </c>
      <c r="B553" s="15" t="s">
        <v>62</v>
      </c>
      <c r="C553" s="15" t="s">
        <v>52</v>
      </c>
      <c r="D553" s="15" t="n">
        <v>0</v>
      </c>
      <c r="E553" s="15" t="n">
        <v>0</v>
      </c>
      <c r="F553" s="15" t="n">
        <v>0</v>
      </c>
      <c r="G553" s="10" t="str">
        <f aca="false">IF(OR(E553="",E553=0),"n/a",IF(F553&lt;0,"n/a",ROUND(F553/E553,1)))</f>
        <v>n/a</v>
      </c>
      <c r="H553" s="10" t="str">
        <f aca="false">IF(F553&lt;0,"Negative (check entry)",IF(OR(E553="",E553=0),IF(F553=0,"No Activity","OK"),IF(F553/E553&lt;0.5,"Low Stock",IF(F553/E553&gt;3,"Overstock","OK"))))</f>
        <v>No Activity</v>
      </c>
      <c r="I553" s="16"/>
    </row>
    <row r="554" customFormat="false" ht="15" hidden="false" customHeight="false" outlineLevel="0" collapsed="false">
      <c r="A554" s="15" t="s">
        <v>62</v>
      </c>
      <c r="B554" s="15" t="s">
        <v>62</v>
      </c>
      <c r="C554" s="15" t="s">
        <v>99</v>
      </c>
      <c r="D554" s="15" t="n">
        <v>1800</v>
      </c>
      <c r="E554" s="15" t="n">
        <v>200</v>
      </c>
      <c r="F554" s="15" t="n">
        <v>1600</v>
      </c>
      <c r="G554" s="10" t="n">
        <f aca="false">IF(OR(E554="",E554=0),"n/a",IF(F554&lt;0,"n/a",ROUND(F554/E554,1)))</f>
        <v>8</v>
      </c>
      <c r="H554" s="10" t="str">
        <f aca="false">IF(F554&lt;0,"Negative (check entry)",IF(OR(E554="",E554=0),IF(F554=0,"No Activity","OK"),IF(F554/E554&lt;0.5,"Low Stock",IF(F554/E554&gt;3,"Overstock","OK"))))</f>
        <v>Overstock</v>
      </c>
      <c r="I554" s="16"/>
    </row>
    <row r="555" customFormat="false" ht="15" hidden="false" customHeight="false" outlineLevel="0" collapsed="false">
      <c r="A555" s="15" t="s">
        <v>62</v>
      </c>
      <c r="B555" s="15" t="s">
        <v>62</v>
      </c>
      <c r="C555" s="15" t="s">
        <v>96</v>
      </c>
      <c r="D555" s="15" t="n">
        <v>340</v>
      </c>
      <c r="E555" s="15" t="n">
        <v>220</v>
      </c>
      <c r="F555" s="15" t="n">
        <v>120</v>
      </c>
      <c r="G555" s="10" t="n">
        <f aca="false">IF(OR(E555="",E555=0),"n/a",IF(F555&lt;0,"n/a",ROUND(F555/E555,1)))</f>
        <v>0.5</v>
      </c>
      <c r="H555" s="10" t="str">
        <f aca="false">IF(F555&lt;0,"Negative (check entry)",IF(OR(E555="",E555=0),IF(F555=0,"No Activity","OK"),IF(F555/E555&lt;0.5,"Low Stock",IF(F555/E555&gt;3,"Overstock","OK"))))</f>
        <v>OK</v>
      </c>
      <c r="I555" s="16"/>
    </row>
    <row r="556" customFormat="false" ht="15" hidden="false" customHeight="false" outlineLevel="0" collapsed="false">
      <c r="A556" s="15" t="s">
        <v>62</v>
      </c>
      <c r="B556" s="15" t="s">
        <v>62</v>
      </c>
      <c r="C556" s="15" t="s">
        <v>79</v>
      </c>
      <c r="D556" s="15" t="n">
        <v>0</v>
      </c>
      <c r="E556" s="15" t="n">
        <v>0</v>
      </c>
      <c r="F556" s="15" t="n">
        <v>0</v>
      </c>
      <c r="G556" s="10" t="str">
        <f aca="false">IF(OR(E556="",E556=0),"n/a",IF(F556&lt;0,"n/a",ROUND(F556/E556,1)))</f>
        <v>n/a</v>
      </c>
      <c r="H556" s="10" t="str">
        <f aca="false">IF(F556&lt;0,"Negative (check entry)",IF(OR(E556="",E556=0),IF(F556=0,"No Activity","OK"),IF(F556/E556&lt;0.5,"Low Stock",IF(F556/E556&gt;3,"Overstock","OK"))))</f>
        <v>No Activity</v>
      </c>
      <c r="I556" s="16"/>
    </row>
    <row r="557" customFormat="false" ht="15" hidden="false" customHeight="false" outlineLevel="0" collapsed="false">
      <c r="A557" s="15" t="s">
        <v>62</v>
      </c>
      <c r="B557" s="15" t="s">
        <v>62</v>
      </c>
      <c r="C557" s="15" t="s">
        <v>38</v>
      </c>
      <c r="D557" s="15" t="n">
        <v>0</v>
      </c>
      <c r="E557" s="15" t="n">
        <v>40</v>
      </c>
      <c r="F557" s="15" t="n">
        <v>-40</v>
      </c>
      <c r="G557" s="10" t="str">
        <f aca="false">IF(OR(E557="",E557=0),"n/a",IF(F557&lt;0,"n/a",ROUND(F557/E557,1)))</f>
        <v>n/a</v>
      </c>
      <c r="H557" s="10" t="str">
        <f aca="false">IF(F557&lt;0,"Negative (check entry)",IF(OR(E557="",E557=0),IF(F557=0,"No Activity","OK"),IF(F557/E557&lt;0.5,"Low Stock",IF(F557/E557&gt;3,"Overstock","OK"))))</f>
        <v>Negative (check entry)</v>
      </c>
      <c r="I557" s="16"/>
    </row>
    <row r="558" customFormat="false" ht="15" hidden="false" customHeight="false" outlineLevel="0" collapsed="false">
      <c r="A558" s="15" t="s">
        <v>62</v>
      </c>
      <c r="B558" s="15" t="s">
        <v>62</v>
      </c>
      <c r="C558" s="15" t="s">
        <v>91</v>
      </c>
      <c r="D558" s="15" t="n">
        <v>120</v>
      </c>
      <c r="E558" s="15" t="n">
        <v>120</v>
      </c>
      <c r="F558" s="15" t="n">
        <v>0</v>
      </c>
      <c r="G558" s="10" t="n">
        <f aca="false">IF(OR(E558="",E558=0),"n/a",IF(F558&lt;0,"n/a",ROUND(F558/E558,1)))</f>
        <v>0</v>
      </c>
      <c r="H558" s="10" t="str">
        <f aca="false">IF(F558&lt;0,"Negative (check entry)",IF(OR(E558="",E558=0),IF(F558=0,"No Activity","OK"),IF(F558/E558&lt;0.5,"Low Stock",IF(F558/E558&gt;3,"Overstock","OK"))))</f>
        <v>Low Stock</v>
      </c>
      <c r="I558" s="16"/>
    </row>
    <row r="559" customFormat="false" ht="15" hidden="false" customHeight="false" outlineLevel="0" collapsed="false">
      <c r="A559" s="15" t="s">
        <v>62</v>
      </c>
      <c r="B559" s="15" t="s">
        <v>62</v>
      </c>
      <c r="C559" s="15" t="s">
        <v>124</v>
      </c>
      <c r="D559" s="15" t="n">
        <v>0</v>
      </c>
      <c r="E559" s="15" t="n">
        <v>0</v>
      </c>
      <c r="F559" s="15" t="n">
        <v>0</v>
      </c>
      <c r="G559" s="10" t="str">
        <f aca="false">IF(OR(E559="",E559=0),"n/a",IF(F559&lt;0,"n/a",ROUND(F559/E559,1)))</f>
        <v>n/a</v>
      </c>
      <c r="H559" s="10" t="str">
        <f aca="false">IF(F559&lt;0,"Negative (check entry)",IF(OR(E559="",E559=0),IF(F559=0,"No Activity","OK"),IF(F559/E559&lt;0.5,"Low Stock",IF(F559/E559&gt;3,"Overstock","OK"))))</f>
        <v>No Activity</v>
      </c>
      <c r="I559" s="16"/>
    </row>
    <row r="560" customFormat="false" ht="15" hidden="false" customHeight="false" outlineLevel="0" collapsed="false">
      <c r="A560" s="15" t="s">
        <v>62</v>
      </c>
      <c r="B560" s="15" t="s">
        <v>62</v>
      </c>
      <c r="C560" s="15" t="s">
        <v>119</v>
      </c>
      <c r="D560" s="15" t="n">
        <v>1440</v>
      </c>
      <c r="E560" s="15" t="n">
        <v>0</v>
      </c>
      <c r="F560" s="15" t="n">
        <v>1440</v>
      </c>
      <c r="G560" s="10" t="str">
        <f aca="false">IF(OR(E560="",E560=0),"n/a",IF(F560&lt;0,"n/a",ROUND(F560/E560,1)))</f>
        <v>n/a</v>
      </c>
      <c r="H560" s="10" t="str">
        <f aca="false">IF(F560&lt;0,"Negative (check entry)",IF(OR(E560="",E560=0),IF(F560=0,"No Activity","OK"),IF(F560/E560&lt;0.5,"Low Stock",IF(F560/E560&gt;3,"Overstock","OK"))))</f>
        <v>OK</v>
      </c>
      <c r="I560" s="16"/>
    </row>
    <row r="561" customFormat="false" ht="15" hidden="false" customHeight="false" outlineLevel="0" collapsed="false">
      <c r="A561" s="15" t="s">
        <v>62</v>
      </c>
      <c r="B561" s="15" t="s">
        <v>62</v>
      </c>
      <c r="C561" s="15" t="s">
        <v>59</v>
      </c>
      <c r="D561" s="15" t="n">
        <v>0</v>
      </c>
      <c r="E561" s="15" t="n">
        <v>40</v>
      </c>
      <c r="F561" s="15" t="n">
        <v>-40</v>
      </c>
      <c r="G561" s="10" t="str">
        <f aca="false">IF(OR(E561="",E561=0),"n/a",IF(F561&lt;0,"n/a",ROUND(F561/E561,1)))</f>
        <v>n/a</v>
      </c>
      <c r="H561" s="10" t="str">
        <f aca="false">IF(F561&lt;0,"Negative (check entry)",IF(OR(E561="",E561=0),IF(F561=0,"No Activity","OK"),IF(F561/E561&lt;0.5,"Low Stock",IF(F561/E561&gt;3,"Overstock","OK"))))</f>
        <v>Negative (check entry)</v>
      </c>
      <c r="I561" s="16"/>
    </row>
    <row r="562" customFormat="false" ht="15" hidden="false" customHeight="false" outlineLevel="0" collapsed="false">
      <c r="A562" s="15" t="s">
        <v>62</v>
      </c>
      <c r="B562" s="15" t="s">
        <v>62</v>
      </c>
      <c r="C562" s="15" t="s">
        <v>80</v>
      </c>
      <c r="D562" s="15" t="n">
        <v>0</v>
      </c>
      <c r="E562" s="15" t="n">
        <v>0</v>
      </c>
      <c r="F562" s="15" t="n">
        <v>0</v>
      </c>
      <c r="G562" s="10" t="str">
        <f aca="false">IF(OR(E562="",E562=0),"n/a",IF(F562&lt;0,"n/a",ROUND(F562/E562,1)))</f>
        <v>n/a</v>
      </c>
      <c r="H562" s="10" t="str">
        <f aca="false">IF(F562&lt;0,"Negative (check entry)",IF(OR(E562="",E562=0),IF(F562=0,"No Activity","OK"),IF(F562/E562&lt;0.5,"Low Stock",IF(F562/E562&gt;3,"Overstock","OK"))))</f>
        <v>No Activity</v>
      </c>
      <c r="I562" s="16"/>
    </row>
    <row r="563" customFormat="false" ht="15" hidden="false" customHeight="false" outlineLevel="0" collapsed="false">
      <c r="A563" s="15" t="s">
        <v>62</v>
      </c>
      <c r="B563" s="15" t="s">
        <v>62</v>
      </c>
      <c r="C563" s="15" t="s">
        <v>154</v>
      </c>
      <c r="D563" s="15" t="n">
        <v>0</v>
      </c>
      <c r="E563" s="15" t="n">
        <v>0</v>
      </c>
      <c r="F563" s="15" t="n">
        <v>0</v>
      </c>
      <c r="G563" s="10" t="str">
        <f aca="false">IF(OR(E563="",E563=0),"n/a",IF(F563&lt;0,"n/a",ROUND(F563/E563,1)))</f>
        <v>n/a</v>
      </c>
      <c r="H563" s="10" t="str">
        <f aca="false">IF(F563&lt;0,"Negative (check entry)",IF(OR(E563="",E563=0),IF(F563=0,"No Activity","OK"),IF(F563/E563&lt;0.5,"Low Stock",IF(F563/E563&gt;3,"Overstock","OK"))))</f>
        <v>No Activity</v>
      </c>
      <c r="I563" s="16"/>
    </row>
    <row r="564" customFormat="false" ht="15" hidden="false" customHeight="false" outlineLevel="0" collapsed="false">
      <c r="A564" s="15" t="s">
        <v>62</v>
      </c>
      <c r="B564" s="15" t="s">
        <v>62</v>
      </c>
      <c r="C564" s="15" t="s">
        <v>98</v>
      </c>
      <c r="D564" s="15" t="n">
        <v>100</v>
      </c>
      <c r="E564" s="15" t="n">
        <v>200</v>
      </c>
      <c r="F564" s="15" t="n">
        <v>1560</v>
      </c>
      <c r="G564" s="10" t="n">
        <f aca="false">IF(OR(E564="",E564=0),"n/a",IF(F564&lt;0,"n/a",ROUND(F564/E564,1)))</f>
        <v>7.8</v>
      </c>
      <c r="H564" s="10" t="str">
        <f aca="false">IF(F564&lt;0,"Negative (check entry)",IF(OR(E564="",E564=0),IF(F564=0,"No Activity","OK"),IF(F564/E564&lt;0.5,"Low Stock",IF(F564/E564&gt;3,"Overstock","OK"))))</f>
        <v>Overstock</v>
      </c>
      <c r="I564" s="16"/>
    </row>
    <row r="565" customFormat="false" ht="15" hidden="false" customHeight="false" outlineLevel="0" collapsed="false">
      <c r="A565" s="15" t="s">
        <v>62</v>
      </c>
      <c r="B565" s="15" t="s">
        <v>62</v>
      </c>
      <c r="C565" s="15" t="s">
        <v>203</v>
      </c>
      <c r="D565" s="15" t="n">
        <v>0</v>
      </c>
      <c r="E565" s="15" t="n">
        <v>0</v>
      </c>
      <c r="F565" s="15" t="n">
        <v>0</v>
      </c>
      <c r="G565" s="10" t="str">
        <f aca="false">IF(OR(E565="",E565=0),"n/a",IF(F565&lt;0,"n/a",ROUND(F565/E565,1)))</f>
        <v>n/a</v>
      </c>
      <c r="H565" s="10" t="str">
        <f aca="false">IF(F565&lt;0,"Negative (check entry)",IF(OR(E565="",E565=0),IF(F565=0,"No Activity","OK"),IF(F565/E565&lt;0.5,"Low Stock",IF(F565/E565&gt;3,"Overstock","OK"))))</f>
        <v>No Activity</v>
      </c>
      <c r="I565" s="16"/>
    </row>
    <row r="566" customFormat="false" ht="15" hidden="false" customHeight="false" outlineLevel="0" collapsed="false">
      <c r="A566" s="15" t="s">
        <v>62</v>
      </c>
      <c r="B566" s="15" t="s">
        <v>62</v>
      </c>
      <c r="C566" s="15" t="s">
        <v>261</v>
      </c>
      <c r="D566" s="15" t="n">
        <v>0</v>
      </c>
      <c r="E566" s="15" t="n">
        <v>740</v>
      </c>
      <c r="F566" s="15" t="n">
        <v>1360</v>
      </c>
      <c r="G566" s="10" t="n">
        <f aca="false">IF(OR(E566="",E566=0),"n/a",IF(F566&lt;0,"n/a",ROUND(F566/E566,1)))</f>
        <v>1.8</v>
      </c>
      <c r="H566" s="10" t="str">
        <f aca="false">IF(F566&lt;0,"Negative (check entry)",IF(OR(E566="",E566=0),IF(F566=0,"No Activity","OK"),IF(F566/E566&lt;0.5,"Low Stock",IF(F566/E566&gt;3,"Overstock","OK"))))</f>
        <v>OK</v>
      </c>
      <c r="I566" s="16"/>
    </row>
    <row r="567" customFormat="false" ht="15" hidden="false" customHeight="false" outlineLevel="0" collapsed="false">
      <c r="A567" s="15" t="s">
        <v>62</v>
      </c>
      <c r="B567" s="15" t="s">
        <v>62</v>
      </c>
      <c r="C567" s="15" t="s">
        <v>101</v>
      </c>
      <c r="D567" s="15" t="n">
        <v>3920</v>
      </c>
      <c r="E567" s="15" t="n">
        <v>1560</v>
      </c>
      <c r="F567" s="15" t="n">
        <v>6120</v>
      </c>
      <c r="G567" s="10" t="n">
        <f aca="false">IF(OR(E567="",E567=0),"n/a",IF(F567&lt;0,"n/a",ROUND(F567/E567,1)))</f>
        <v>3.9</v>
      </c>
      <c r="H567" s="10" t="str">
        <f aca="false">IF(F567&lt;0,"Negative (check entry)",IF(OR(E567="",E567=0),IF(F567=0,"No Activity","OK"),IF(F567/E567&lt;0.5,"Low Stock",IF(F567/E567&gt;3,"Overstock","OK"))))</f>
        <v>Overstock</v>
      </c>
      <c r="I567" s="16"/>
    </row>
    <row r="568" customFormat="false" ht="15" hidden="false" customHeight="false" outlineLevel="0" collapsed="false">
      <c r="A568" s="15" t="s">
        <v>62</v>
      </c>
      <c r="B568" s="15" t="s">
        <v>62</v>
      </c>
      <c r="C568" s="15" t="s">
        <v>47</v>
      </c>
      <c r="D568" s="15" t="n">
        <v>0</v>
      </c>
      <c r="E568" s="15" t="n">
        <v>0</v>
      </c>
      <c r="F568" s="15" t="n">
        <v>19</v>
      </c>
      <c r="G568" s="10" t="str">
        <f aca="false">IF(OR(E568="",E568=0),"n/a",IF(F568&lt;0,"n/a",ROUND(F568/E568,1)))</f>
        <v>n/a</v>
      </c>
      <c r="H568" s="10" t="str">
        <f aca="false">IF(F568&lt;0,"Negative (check entry)",IF(OR(E568="",E568=0),IF(F568=0,"No Activity","OK"),IF(F568/E568&lt;0.5,"Low Stock",IF(F568/E568&gt;3,"Overstock","OK"))))</f>
        <v>OK</v>
      </c>
      <c r="I568" s="16"/>
    </row>
    <row r="569" customFormat="false" ht="15" hidden="false" customHeight="false" outlineLevel="0" collapsed="false">
      <c r="A569" s="15" t="s">
        <v>62</v>
      </c>
      <c r="B569" s="15" t="s">
        <v>62</v>
      </c>
      <c r="C569" s="15" t="s">
        <v>102</v>
      </c>
      <c r="D569" s="15" t="n">
        <v>3920</v>
      </c>
      <c r="E569" s="15" t="n">
        <v>1560</v>
      </c>
      <c r="F569" s="15" t="n">
        <v>6139</v>
      </c>
      <c r="G569" s="10" t="n">
        <f aca="false">IF(OR(E569="",E569=0),"n/a",IF(F569&lt;0,"n/a",ROUND(F569/E569,1)))</f>
        <v>3.9</v>
      </c>
      <c r="H569" s="10" t="str">
        <f aca="false">IF(F569&lt;0,"Negative (check entry)",IF(OR(E569="",E569=0),IF(F569=0,"No Activity","OK"),IF(F569/E569&lt;0.5,"Low Stock",IF(F569/E569&gt;3,"Overstock","OK"))))</f>
        <v>Overstock</v>
      </c>
      <c r="I569" s="16"/>
    </row>
    <row r="570" customFormat="false" ht="15" hidden="false" customHeight="false" outlineLevel="0" collapsed="false">
      <c r="A570" s="15" t="s">
        <v>62</v>
      </c>
      <c r="B570" s="15" t="s">
        <v>62</v>
      </c>
      <c r="C570" s="15" t="s">
        <v>172</v>
      </c>
      <c r="D570" s="15" t="n">
        <v>0</v>
      </c>
      <c r="E570" s="15" t="n">
        <v>0</v>
      </c>
      <c r="F570" s="15" t="n">
        <v>131</v>
      </c>
      <c r="G570" s="10" t="str">
        <f aca="false">IF(OR(E570="",E570=0),"n/a",IF(F570&lt;0,"n/a",ROUND(F570/E570,1)))</f>
        <v>n/a</v>
      </c>
      <c r="H570" s="10" t="str">
        <f aca="false">IF(F570&lt;0,"Negative (check entry)",IF(OR(E570="",E570=0),IF(F570=0,"No Activity","OK"),IF(F570/E570&lt;0.5,"Low Stock",IF(F570/E570&gt;3,"Overstock","OK"))))</f>
        <v>OK</v>
      </c>
      <c r="I570" s="16"/>
    </row>
    <row r="571" customFormat="false" ht="15" hidden="false" customHeight="false" outlineLevel="0" collapsed="false">
      <c r="A571" s="15" t="s">
        <v>62</v>
      </c>
      <c r="B571" s="15" t="s">
        <v>62</v>
      </c>
      <c r="C571" s="15" t="s">
        <v>104</v>
      </c>
      <c r="D571" s="15" t="n">
        <v>3920</v>
      </c>
      <c r="E571" s="15" t="n">
        <v>1560</v>
      </c>
      <c r="F571" s="15" t="n">
        <v>6270</v>
      </c>
      <c r="G571" s="10" t="n">
        <f aca="false">IF(OR(E571="",E571=0),"n/a",IF(F571&lt;0,"n/a",ROUND(F571/E571,1)))</f>
        <v>4</v>
      </c>
      <c r="H571" s="10" t="str">
        <f aca="false">IF(F571&lt;0,"Negative (check entry)",IF(OR(E571="",E571=0),IF(F571=0,"No Activity","OK"),IF(F571/E571&lt;0.5,"Low Stock",IF(F571/E571&gt;3,"Overstock","OK"))))</f>
        <v>Overstock</v>
      </c>
      <c r="I571" s="16"/>
    </row>
    <row r="572" customFormat="false" ht="15" hidden="false" customHeight="false" outlineLevel="0" collapsed="false">
      <c r="A572" s="15" t="s">
        <v>262</v>
      </c>
      <c r="B572" s="15" t="s">
        <v>263</v>
      </c>
      <c r="C572" s="15" t="s">
        <v>97</v>
      </c>
      <c r="D572" s="15" t="n">
        <v>478</v>
      </c>
      <c r="E572" s="15" t="n">
        <v>79</v>
      </c>
      <c r="F572" s="15" t="n">
        <v>399</v>
      </c>
      <c r="G572" s="10" t="n">
        <f aca="false">IF(OR(E572="",E572=0),"n/a",IF(F572&lt;0,"n/a",ROUND(F572/E572,1)))</f>
        <v>5.1</v>
      </c>
      <c r="H572" s="10" t="str">
        <f aca="false">IF(F572&lt;0,"Negative (check entry)",IF(OR(E572="",E572=0),IF(F572=0,"No Activity","OK"),IF(F572/E572&lt;0.5,"Low Stock",IF(F572/E572&gt;3,"Overstock","OK"))))</f>
        <v>Overstock</v>
      </c>
      <c r="I572" s="16"/>
    </row>
    <row r="573" customFormat="false" ht="15" hidden="false" customHeight="false" outlineLevel="0" collapsed="false">
      <c r="A573" s="15" t="s">
        <v>262</v>
      </c>
      <c r="B573" s="15" t="s">
        <v>263</v>
      </c>
      <c r="C573" s="15" t="s">
        <v>59</v>
      </c>
      <c r="D573" s="15" t="n">
        <v>548</v>
      </c>
      <c r="E573" s="15" t="n">
        <v>2</v>
      </c>
      <c r="F573" s="15" t="n">
        <v>546</v>
      </c>
      <c r="G573" s="10" t="n">
        <f aca="false">IF(OR(E573="",E573=0),"n/a",IF(F573&lt;0,"n/a",ROUND(F573/E573,1)))</f>
        <v>273</v>
      </c>
      <c r="H573" s="10" t="str">
        <f aca="false">IF(F573&lt;0,"Negative (check entry)",IF(OR(E573="",E573=0),IF(F573=0,"No Activity","OK"),IF(F573/E573&lt;0.5,"Low Stock",IF(F573/E573&gt;3,"Overstock","OK"))))</f>
        <v>Overstock</v>
      </c>
      <c r="I573" s="16"/>
    </row>
    <row r="574" customFormat="false" ht="15" hidden="false" customHeight="false" outlineLevel="0" collapsed="false">
      <c r="A574" s="15" t="s">
        <v>262</v>
      </c>
      <c r="B574" s="15" t="s">
        <v>263</v>
      </c>
      <c r="C574" s="15" t="s">
        <v>38</v>
      </c>
      <c r="D574" s="15" t="n">
        <v>1410</v>
      </c>
      <c r="E574" s="15" t="n">
        <v>58</v>
      </c>
      <c r="F574" s="15" t="n">
        <v>1352</v>
      </c>
      <c r="G574" s="10" t="n">
        <f aca="false">IF(OR(E574="",E574=0),"n/a",IF(F574&lt;0,"n/a",ROUND(F574/E574,1)))</f>
        <v>23.3</v>
      </c>
      <c r="H574" s="10" t="str">
        <f aca="false">IF(F574&lt;0,"Negative (check entry)",IF(OR(E574="",E574=0),IF(F574=0,"No Activity","OK"),IF(F574/E574&lt;0.5,"Low Stock",IF(F574/E574&gt;3,"Overstock","OK"))))</f>
        <v>Overstock</v>
      </c>
      <c r="I574" s="16"/>
    </row>
    <row r="575" customFormat="false" ht="15" hidden="false" customHeight="false" outlineLevel="0" collapsed="false">
      <c r="A575" s="15" t="s">
        <v>262</v>
      </c>
      <c r="B575" s="15" t="s">
        <v>263</v>
      </c>
      <c r="C575" s="15" t="s">
        <v>100</v>
      </c>
      <c r="D575" s="15" t="n">
        <v>788</v>
      </c>
      <c r="E575" s="15" t="n">
        <v>43</v>
      </c>
      <c r="F575" s="15" t="n">
        <v>745</v>
      </c>
      <c r="G575" s="10" t="n">
        <f aca="false">IF(OR(E575="",E575=0),"n/a",IF(F575&lt;0,"n/a",ROUND(F575/E575,1)))</f>
        <v>17.3</v>
      </c>
      <c r="H575" s="10" t="str">
        <f aca="false">IF(F575&lt;0,"Negative (check entry)",IF(OR(E575="",E575=0),IF(F575=0,"No Activity","OK"),IF(F575/E575&lt;0.5,"Low Stock",IF(F575/E575&gt;3,"Overstock","OK"))))</f>
        <v>Overstock</v>
      </c>
      <c r="I575" s="16"/>
    </row>
    <row r="576" customFormat="false" ht="15" hidden="false" customHeight="false" outlineLevel="0" collapsed="false">
      <c r="A576" s="15" t="s">
        <v>262</v>
      </c>
      <c r="B576" s="15" t="s">
        <v>263</v>
      </c>
      <c r="C576" s="15" t="s">
        <v>60</v>
      </c>
      <c r="D576" s="15" t="n">
        <v>554</v>
      </c>
      <c r="E576" s="15" t="n">
        <v>0</v>
      </c>
      <c r="F576" s="15" t="n">
        <v>554</v>
      </c>
      <c r="G576" s="10" t="str">
        <f aca="false">IF(OR(E576="",E576=0),"n/a",IF(F576&lt;0,"n/a",ROUND(F576/E576,1)))</f>
        <v>n/a</v>
      </c>
      <c r="H576" s="10" t="str">
        <f aca="false">IF(F576&lt;0,"Negative (check entry)",IF(OR(E576="",E576=0),IF(F576=0,"No Activity","OK"),IF(F576/E576&lt;0.5,"Low Stock",IF(F576/E576&gt;3,"Overstock","OK"))))</f>
        <v>OK</v>
      </c>
      <c r="I576" s="16"/>
    </row>
    <row r="577" customFormat="false" ht="15" hidden="false" customHeight="false" outlineLevel="0" collapsed="false">
      <c r="A577" s="15" t="s">
        <v>262</v>
      </c>
      <c r="B577" s="15" t="s">
        <v>263</v>
      </c>
      <c r="C577" s="15" t="s">
        <v>88</v>
      </c>
      <c r="D577" s="15" t="n">
        <v>0</v>
      </c>
      <c r="E577" s="15" t="n">
        <v>0</v>
      </c>
      <c r="F577" s="15" t="n">
        <v>0</v>
      </c>
      <c r="G577" s="10" t="str">
        <f aca="false">IF(OR(E577="",E577=0),"n/a",IF(F577&lt;0,"n/a",ROUND(F577/E577,1)))</f>
        <v>n/a</v>
      </c>
      <c r="H577" s="10" t="str">
        <f aca="false">IF(F577&lt;0,"Negative (check entry)",IF(OR(E577="",E577=0),IF(F577=0,"No Activity","OK"),IF(F577/E577&lt;0.5,"Low Stock",IF(F577/E577&gt;3,"Overstock","OK"))))</f>
        <v>No Activity</v>
      </c>
      <c r="I577" s="16"/>
    </row>
    <row r="578" customFormat="false" ht="15" hidden="false" customHeight="false" outlineLevel="0" collapsed="false">
      <c r="A578" s="15" t="s">
        <v>262</v>
      </c>
      <c r="B578" s="15" t="s">
        <v>263</v>
      </c>
      <c r="C578" s="15" t="s">
        <v>178</v>
      </c>
      <c r="D578" s="15" t="n">
        <v>0</v>
      </c>
      <c r="E578" s="15" t="n">
        <v>0</v>
      </c>
      <c r="F578" s="15" t="n">
        <v>0</v>
      </c>
      <c r="G578" s="10" t="str">
        <f aca="false">IF(OR(E578="",E578=0),"n/a",IF(F578&lt;0,"n/a",ROUND(F578/E578,1)))</f>
        <v>n/a</v>
      </c>
      <c r="H578" s="10" t="str">
        <f aca="false">IF(F578&lt;0,"Negative (check entry)",IF(OR(E578="",E578=0),IF(F578=0,"No Activity","OK"),IF(F578/E578&lt;0.5,"Low Stock",IF(F578/E578&gt;3,"Overstock","OK"))))</f>
        <v>No Activity</v>
      </c>
      <c r="I578" s="16"/>
    </row>
    <row r="579" customFormat="false" ht="15" hidden="false" customHeight="false" outlineLevel="0" collapsed="false">
      <c r="A579" s="15" t="s">
        <v>262</v>
      </c>
      <c r="B579" s="15" t="s">
        <v>264</v>
      </c>
      <c r="C579" s="15" t="s">
        <v>178</v>
      </c>
      <c r="D579" s="15" t="n">
        <v>0</v>
      </c>
      <c r="E579" s="15" t="n">
        <v>0</v>
      </c>
      <c r="F579" s="15" t="n">
        <v>0</v>
      </c>
      <c r="G579" s="10" t="str">
        <f aca="false">IF(OR(E579="",E579=0),"n/a",IF(F579&lt;0,"n/a",ROUND(F579/E579,1)))</f>
        <v>n/a</v>
      </c>
      <c r="H579" s="10" t="str">
        <f aca="false">IF(F579&lt;0,"Negative (check entry)",IF(OR(E579="",E579=0),IF(F579=0,"No Activity","OK"),IF(F579/E579&lt;0.5,"Low Stock",IF(F579/E579&gt;3,"Overstock","OK"))))</f>
        <v>No Activity</v>
      </c>
      <c r="I579" s="16"/>
    </row>
    <row r="580" customFormat="false" ht="15" hidden="false" customHeight="false" outlineLevel="0" collapsed="false">
      <c r="A580" s="15" t="s">
        <v>262</v>
      </c>
      <c r="B580" s="15" t="s">
        <v>264</v>
      </c>
      <c r="C580" s="15" t="s">
        <v>100</v>
      </c>
      <c r="D580" s="15" t="n">
        <v>0</v>
      </c>
      <c r="E580" s="15" t="n">
        <v>0</v>
      </c>
      <c r="F580" s="15" t="n">
        <v>0</v>
      </c>
      <c r="G580" s="10" t="str">
        <f aca="false">IF(OR(E580="",E580=0),"n/a",IF(F580&lt;0,"n/a",ROUND(F580/E580,1)))</f>
        <v>n/a</v>
      </c>
      <c r="H580" s="10" t="str">
        <f aca="false">IF(F580&lt;0,"Negative (check entry)",IF(OR(E580="",E580=0),IF(F580=0,"No Activity","OK"),IF(F580/E580&lt;0.5,"Low Stock",IF(F580/E580&gt;3,"Overstock","OK"))))</f>
        <v>No Activity</v>
      </c>
      <c r="I580" s="16"/>
    </row>
    <row r="581" customFormat="false" ht="15" hidden="false" customHeight="false" outlineLevel="0" collapsed="false">
      <c r="A581" s="15" t="s">
        <v>262</v>
      </c>
      <c r="B581" s="15" t="s">
        <v>264</v>
      </c>
      <c r="C581" s="15" t="s">
        <v>265</v>
      </c>
      <c r="D581" s="15" t="n">
        <v>0</v>
      </c>
      <c r="E581" s="15" t="n">
        <v>0</v>
      </c>
      <c r="F581" s="15" t="n">
        <v>0</v>
      </c>
      <c r="G581" s="10" t="str">
        <f aca="false">IF(OR(E581="",E581=0),"n/a",IF(F581&lt;0,"n/a",ROUND(F581/E581,1)))</f>
        <v>n/a</v>
      </c>
      <c r="H581" s="10" t="str">
        <f aca="false">IF(F581&lt;0,"Negative (check entry)",IF(OR(E581="",E581=0),IF(F581=0,"No Activity","OK"),IF(F581/E581&lt;0.5,"Low Stock",IF(F581/E581&gt;3,"Overstock","OK"))))</f>
        <v>No Activity</v>
      </c>
      <c r="I581" s="16"/>
    </row>
    <row r="582" customFormat="false" ht="15" hidden="false" customHeight="false" outlineLevel="0" collapsed="false">
      <c r="A582" s="15" t="s">
        <v>262</v>
      </c>
      <c r="B582" s="15" t="s">
        <v>264</v>
      </c>
      <c r="C582" s="15" t="s">
        <v>38</v>
      </c>
      <c r="D582" s="15" t="n">
        <v>0</v>
      </c>
      <c r="E582" s="15" t="n">
        <v>0</v>
      </c>
      <c r="F582" s="15" t="n">
        <v>0</v>
      </c>
      <c r="G582" s="10" t="str">
        <f aca="false">IF(OR(E582="",E582=0),"n/a",IF(F582&lt;0,"n/a",ROUND(F582/E582,1)))</f>
        <v>n/a</v>
      </c>
      <c r="H582" s="10" t="str">
        <f aca="false">IF(F582&lt;0,"Negative (check entry)",IF(OR(E582="",E582=0),IF(F582=0,"No Activity","OK"),IF(F582/E582&lt;0.5,"Low Stock",IF(F582/E582&gt;3,"Overstock","OK"))))</f>
        <v>No Activity</v>
      </c>
      <c r="I582" s="16"/>
    </row>
    <row r="583" customFormat="false" ht="15" hidden="false" customHeight="false" outlineLevel="0" collapsed="false">
      <c r="A583" s="15" t="s">
        <v>262</v>
      </c>
      <c r="B583" s="15" t="s">
        <v>264</v>
      </c>
      <c r="C583" s="15" t="s">
        <v>59</v>
      </c>
      <c r="D583" s="15" t="n">
        <v>0</v>
      </c>
      <c r="E583" s="15" t="n">
        <v>0</v>
      </c>
      <c r="F583" s="15" t="n">
        <v>0</v>
      </c>
      <c r="G583" s="10" t="str">
        <f aca="false">IF(OR(E583="",E583=0),"n/a",IF(F583&lt;0,"n/a",ROUND(F583/E583,1)))</f>
        <v>n/a</v>
      </c>
      <c r="H583" s="10" t="str">
        <f aca="false">IF(F583&lt;0,"Negative (check entry)",IF(OR(E583="",E583=0),IF(F583=0,"No Activity","OK"),IF(F583/E583&lt;0.5,"Low Stock",IF(F583/E583&gt;3,"Overstock","OK"))))</f>
        <v>No Activity</v>
      </c>
      <c r="I583" s="16"/>
    </row>
    <row r="584" customFormat="false" ht="15" hidden="false" customHeight="false" outlineLevel="0" collapsed="false">
      <c r="A584" s="15" t="s">
        <v>262</v>
      </c>
      <c r="B584" s="15" t="s">
        <v>264</v>
      </c>
      <c r="C584" s="15" t="s">
        <v>88</v>
      </c>
      <c r="D584" s="15" t="n">
        <v>0</v>
      </c>
      <c r="E584" s="15" t="n">
        <v>0</v>
      </c>
      <c r="F584" s="15" t="n">
        <v>0</v>
      </c>
      <c r="G584" s="10" t="str">
        <f aca="false">IF(OR(E584="",E584=0),"n/a",IF(F584&lt;0,"n/a",ROUND(F584/E584,1)))</f>
        <v>n/a</v>
      </c>
      <c r="H584" s="10" t="str">
        <f aca="false">IF(F584&lt;0,"Negative (check entry)",IF(OR(E584="",E584=0),IF(F584=0,"No Activity","OK"),IF(F584/E584&lt;0.5,"Low Stock",IF(F584/E584&gt;3,"Overstock","OK"))))</f>
        <v>No Activity</v>
      </c>
      <c r="I584" s="16"/>
    </row>
    <row r="585" customFormat="false" ht="15" hidden="false" customHeight="false" outlineLevel="0" collapsed="false">
      <c r="A585" s="15" t="s">
        <v>262</v>
      </c>
      <c r="B585" s="15" t="s">
        <v>264</v>
      </c>
      <c r="C585" s="15" t="s">
        <v>154</v>
      </c>
      <c r="D585" s="15" t="n">
        <v>0</v>
      </c>
      <c r="E585" s="15" t="n">
        <v>0</v>
      </c>
      <c r="F585" s="15" t="n">
        <v>0</v>
      </c>
      <c r="G585" s="10" t="str">
        <f aca="false">IF(OR(E585="",E585=0),"n/a",IF(F585&lt;0,"n/a",ROUND(F585/E585,1)))</f>
        <v>n/a</v>
      </c>
      <c r="H585" s="10" t="str">
        <f aca="false">IF(F585&lt;0,"Negative (check entry)",IF(OR(E585="",E585=0),IF(F585=0,"No Activity","OK"),IF(F585/E585&lt;0.5,"Low Stock",IF(F585/E585&gt;3,"Overstock","OK"))))</f>
        <v>No Activity</v>
      </c>
      <c r="I585" s="16"/>
    </row>
    <row r="586" customFormat="false" ht="15" hidden="false" customHeight="false" outlineLevel="0" collapsed="false">
      <c r="A586" s="15" t="s">
        <v>262</v>
      </c>
      <c r="B586" s="15" t="s">
        <v>264</v>
      </c>
      <c r="C586" s="15" t="s">
        <v>255</v>
      </c>
      <c r="D586" s="15" t="n">
        <v>0</v>
      </c>
      <c r="E586" s="15" t="n">
        <v>0</v>
      </c>
      <c r="F586" s="15" t="n">
        <v>0</v>
      </c>
      <c r="G586" s="10" t="str">
        <f aca="false">IF(OR(E586="",E586=0),"n/a",IF(F586&lt;0,"n/a",ROUND(F586/E586,1)))</f>
        <v>n/a</v>
      </c>
      <c r="H586" s="10" t="str">
        <f aca="false">IF(F586&lt;0,"Negative (check entry)",IF(OR(E586="",E586=0),IF(F586=0,"No Activity","OK"),IF(F586/E586&lt;0.5,"Low Stock",IF(F586/E586&gt;3,"Overstock","OK"))))</f>
        <v>No Activity</v>
      </c>
      <c r="I586" s="16"/>
    </row>
    <row r="587" customFormat="false" ht="15" hidden="false" customHeight="false" outlineLevel="0" collapsed="false">
      <c r="A587" s="15" t="s">
        <v>262</v>
      </c>
      <c r="B587" s="15" t="s">
        <v>266</v>
      </c>
      <c r="C587" s="15" t="s">
        <v>255</v>
      </c>
      <c r="D587" s="15" t="n">
        <v>309</v>
      </c>
      <c r="E587" s="15" t="n">
        <v>0</v>
      </c>
      <c r="F587" s="15" t="n">
        <v>309</v>
      </c>
      <c r="G587" s="10" t="str">
        <f aca="false">IF(OR(E587="",E587=0),"n/a",IF(F587&lt;0,"n/a",ROUND(F587/E587,1)))</f>
        <v>n/a</v>
      </c>
      <c r="H587" s="10" t="str">
        <f aca="false">IF(F587&lt;0,"Negative (check entry)",IF(OR(E587="",E587=0),IF(F587=0,"No Activity","OK"),IF(F587/E587&lt;0.5,"Low Stock",IF(F587/E587&gt;3,"Overstock","OK"))))</f>
        <v>OK</v>
      </c>
      <c r="I587" s="16"/>
    </row>
    <row r="588" customFormat="false" ht="15" hidden="false" customHeight="false" outlineLevel="0" collapsed="false">
      <c r="A588" s="15" t="s">
        <v>262</v>
      </c>
      <c r="B588" s="15" t="s">
        <v>266</v>
      </c>
      <c r="C588" s="15" t="s">
        <v>41</v>
      </c>
      <c r="D588" s="15" t="n">
        <v>0</v>
      </c>
      <c r="E588" s="15" t="n">
        <v>0</v>
      </c>
      <c r="F588" s="15" t="n">
        <v>0</v>
      </c>
      <c r="G588" s="10" t="str">
        <f aca="false">IF(OR(E588="",E588=0),"n/a",IF(F588&lt;0,"n/a",ROUND(F588/E588,1)))</f>
        <v>n/a</v>
      </c>
      <c r="H588" s="10" t="str">
        <f aca="false">IF(F588&lt;0,"Negative (check entry)",IF(OR(E588="",E588=0),IF(F588=0,"No Activity","OK"),IF(F588/E588&lt;0.5,"Low Stock",IF(F588/E588&gt;3,"Overstock","OK"))))</f>
        <v>No Activity</v>
      </c>
      <c r="I588" s="16"/>
    </row>
    <row r="589" customFormat="false" ht="15" hidden="false" customHeight="false" outlineLevel="0" collapsed="false">
      <c r="A589" s="15" t="s">
        <v>262</v>
      </c>
      <c r="B589" s="15" t="s">
        <v>266</v>
      </c>
      <c r="C589" s="15" t="s">
        <v>196</v>
      </c>
      <c r="D589" s="15" t="n">
        <v>337</v>
      </c>
      <c r="E589" s="15" t="n">
        <v>0</v>
      </c>
      <c r="F589" s="15" t="n">
        <v>337</v>
      </c>
      <c r="G589" s="10" t="str">
        <f aca="false">IF(OR(E589="",E589=0),"n/a",IF(F589&lt;0,"n/a",ROUND(F589/E589,1)))</f>
        <v>n/a</v>
      </c>
      <c r="H589" s="10" t="str">
        <f aca="false">IF(F589&lt;0,"Negative (check entry)",IF(OR(E589="",E589=0),IF(F589=0,"No Activity","OK"),IF(F589/E589&lt;0.5,"Low Stock",IF(F589/E589&gt;3,"Overstock","OK"))))</f>
        <v>OK</v>
      </c>
      <c r="I589" s="16"/>
    </row>
    <row r="590" customFormat="false" ht="15" hidden="false" customHeight="false" outlineLevel="0" collapsed="false">
      <c r="A590" s="15" t="s">
        <v>262</v>
      </c>
      <c r="B590" s="15" t="s">
        <v>266</v>
      </c>
      <c r="C590" s="15" t="s">
        <v>88</v>
      </c>
      <c r="D590" s="15" t="n">
        <v>0</v>
      </c>
      <c r="E590" s="15" t="n">
        <v>0</v>
      </c>
      <c r="F590" s="15" t="n">
        <v>0</v>
      </c>
      <c r="G590" s="10" t="str">
        <f aca="false">IF(OR(E590="",E590=0),"n/a",IF(F590&lt;0,"n/a",ROUND(F590/E590,1)))</f>
        <v>n/a</v>
      </c>
      <c r="H590" s="10" t="str">
        <f aca="false">IF(F590&lt;0,"Negative (check entry)",IF(OR(E590="",E590=0),IF(F590=0,"No Activity","OK"),IF(F590/E590&lt;0.5,"Low Stock",IF(F590/E590&gt;3,"Overstock","OK"))))</f>
        <v>No Activity</v>
      </c>
      <c r="I590" s="16"/>
    </row>
    <row r="591" customFormat="false" ht="15" hidden="false" customHeight="false" outlineLevel="0" collapsed="false">
      <c r="A591" s="15" t="s">
        <v>262</v>
      </c>
      <c r="B591" s="15" t="s">
        <v>266</v>
      </c>
      <c r="C591" s="15" t="s">
        <v>267</v>
      </c>
      <c r="D591" s="15" t="n">
        <v>0</v>
      </c>
      <c r="E591" s="15" t="n">
        <v>0</v>
      </c>
      <c r="F591" s="15" t="n">
        <v>0</v>
      </c>
      <c r="G591" s="10" t="str">
        <f aca="false">IF(OR(E591="",E591=0),"n/a",IF(F591&lt;0,"n/a",ROUND(F591/E591,1)))</f>
        <v>n/a</v>
      </c>
      <c r="H591" s="10" t="str">
        <f aca="false">IF(F591&lt;0,"Negative (check entry)",IF(OR(E591="",E591=0),IF(F591=0,"No Activity","OK"),IF(F591/E591&lt;0.5,"Low Stock",IF(F591/E591&gt;3,"Overstock","OK"))))</f>
        <v>No Activity</v>
      </c>
      <c r="I591" s="16"/>
    </row>
    <row r="592" customFormat="false" ht="15" hidden="false" customHeight="false" outlineLevel="0" collapsed="false">
      <c r="A592" s="15" t="s">
        <v>262</v>
      </c>
      <c r="B592" s="15" t="s">
        <v>266</v>
      </c>
      <c r="C592" s="15" t="s">
        <v>127</v>
      </c>
      <c r="D592" s="15" t="n">
        <v>145</v>
      </c>
      <c r="E592" s="15" t="n">
        <v>0</v>
      </c>
      <c r="F592" s="15" t="n">
        <v>145</v>
      </c>
      <c r="G592" s="10" t="str">
        <f aca="false">IF(OR(E592="",E592=0),"n/a",IF(F592&lt;0,"n/a",ROUND(F592/E592,1)))</f>
        <v>n/a</v>
      </c>
      <c r="H592" s="10" t="str">
        <f aca="false">IF(F592&lt;0,"Negative (check entry)",IF(OR(E592="",E592=0),IF(F592=0,"No Activity","OK"),IF(F592/E592&lt;0.5,"Low Stock",IF(F592/E592&gt;3,"Overstock","OK"))))</f>
        <v>OK</v>
      </c>
      <c r="I592" s="16"/>
    </row>
    <row r="593" customFormat="false" ht="15" hidden="false" customHeight="false" outlineLevel="0" collapsed="false">
      <c r="A593" s="15" t="s">
        <v>262</v>
      </c>
      <c r="B593" s="15" t="s">
        <v>266</v>
      </c>
      <c r="C593" s="15" t="s">
        <v>52</v>
      </c>
      <c r="D593" s="15" t="n">
        <v>455</v>
      </c>
      <c r="E593" s="15" t="n">
        <v>0</v>
      </c>
      <c r="F593" s="15" t="n">
        <v>455</v>
      </c>
      <c r="G593" s="10" t="str">
        <f aca="false">IF(OR(E593="",E593=0),"n/a",IF(F593&lt;0,"n/a",ROUND(F593/E593,1)))</f>
        <v>n/a</v>
      </c>
      <c r="H593" s="10" t="str">
        <f aca="false">IF(F593&lt;0,"Negative (check entry)",IF(OR(E593="",E593=0),IF(F593=0,"No Activity","OK"),IF(F593/E593&lt;0.5,"Low Stock",IF(F593/E593&gt;3,"Overstock","OK"))))</f>
        <v>OK</v>
      </c>
      <c r="I593" s="16"/>
    </row>
    <row r="594" customFormat="false" ht="15" hidden="false" customHeight="false" outlineLevel="0" collapsed="false">
      <c r="A594" s="15" t="s">
        <v>262</v>
      </c>
      <c r="B594" s="15" t="s">
        <v>266</v>
      </c>
      <c r="C594" s="15" t="s">
        <v>154</v>
      </c>
      <c r="D594" s="15" t="n">
        <v>692</v>
      </c>
      <c r="E594" s="15" t="n">
        <v>0</v>
      </c>
      <c r="F594" s="15" t="n">
        <v>692</v>
      </c>
      <c r="G594" s="10" t="str">
        <f aca="false">IF(OR(E594="",E594=0),"n/a",IF(F594&lt;0,"n/a",ROUND(F594/E594,1)))</f>
        <v>n/a</v>
      </c>
      <c r="H594" s="10" t="str">
        <f aca="false">IF(F594&lt;0,"Negative (check entry)",IF(OR(E594="",E594=0),IF(F594=0,"No Activity","OK"),IF(F594/E594&lt;0.5,"Low Stock",IF(F594/E594&gt;3,"Overstock","OK"))))</f>
        <v>OK</v>
      </c>
      <c r="I594" s="16"/>
    </row>
    <row r="595" customFormat="false" ht="15" hidden="false" customHeight="false" outlineLevel="0" collapsed="false">
      <c r="A595" s="15" t="s">
        <v>262</v>
      </c>
      <c r="B595" s="15" t="s">
        <v>266</v>
      </c>
      <c r="C595" s="15" t="s">
        <v>101</v>
      </c>
      <c r="D595" s="15" t="n">
        <v>5716</v>
      </c>
      <c r="E595" s="15" t="n">
        <v>182</v>
      </c>
      <c r="F595" s="15" t="n">
        <v>5534</v>
      </c>
      <c r="G595" s="10" t="n">
        <f aca="false">IF(OR(E595="",E595=0),"n/a",IF(F595&lt;0,"n/a",ROUND(F595/E595,1)))</f>
        <v>30.4</v>
      </c>
      <c r="H595" s="10" t="str">
        <f aca="false">IF(F595&lt;0,"Negative (check entry)",IF(OR(E595="",E595=0),IF(F595=0,"No Activity","OK"),IF(F595/E595&lt;0.5,"Low Stock",IF(F595/E595&gt;3,"Overstock","OK"))))</f>
        <v>Overstock</v>
      </c>
      <c r="I595" s="16"/>
    </row>
    <row r="596" customFormat="false" ht="15" hidden="false" customHeight="false" outlineLevel="0" collapsed="false">
      <c r="A596" s="15" t="s">
        <v>262</v>
      </c>
      <c r="B596" s="15" t="s">
        <v>266</v>
      </c>
      <c r="C596" s="15" t="s">
        <v>47</v>
      </c>
      <c r="D596" s="15" t="n">
        <v>0</v>
      </c>
      <c r="E596" s="15" t="n">
        <v>0</v>
      </c>
      <c r="F596" s="15" t="n">
        <v>0</v>
      </c>
      <c r="G596" s="10" t="str">
        <f aca="false">IF(OR(E596="",E596=0),"n/a",IF(F596&lt;0,"n/a",ROUND(F596/E596,1)))</f>
        <v>n/a</v>
      </c>
      <c r="H596" s="10" t="str">
        <f aca="false">IF(F596&lt;0,"Negative (check entry)",IF(OR(E596="",E596=0),IF(F596=0,"No Activity","OK"),IF(F596/E596&lt;0.5,"Low Stock",IF(F596/E596&gt;3,"Overstock","OK"))))</f>
        <v>No Activity</v>
      </c>
      <c r="I596" s="16"/>
    </row>
    <row r="597" customFormat="false" ht="15" hidden="false" customHeight="false" outlineLevel="0" collapsed="false">
      <c r="A597" s="15" t="s">
        <v>262</v>
      </c>
      <c r="B597" s="15" t="s">
        <v>266</v>
      </c>
      <c r="C597" s="15" t="s">
        <v>102</v>
      </c>
      <c r="D597" s="15" t="n">
        <v>5716</v>
      </c>
      <c r="E597" s="15" t="n">
        <v>182</v>
      </c>
      <c r="F597" s="15" t="n">
        <v>5534</v>
      </c>
      <c r="G597" s="10" t="n">
        <f aca="false">IF(OR(E597="",E597=0),"n/a",IF(F597&lt;0,"n/a",ROUND(F597/E597,1)))</f>
        <v>30.4</v>
      </c>
      <c r="H597" s="10" t="str">
        <f aca="false">IF(F597&lt;0,"Negative (check entry)",IF(OR(E597="",E597=0),IF(F597=0,"No Activity","OK"),IF(F597/E597&lt;0.5,"Low Stock",IF(F597/E597&gt;3,"Overstock","OK"))))</f>
        <v>Overstock</v>
      </c>
      <c r="I597" s="16"/>
    </row>
    <row r="598" customFormat="false" ht="15" hidden="false" customHeight="false" outlineLevel="0" collapsed="false">
      <c r="A598" s="15" t="s">
        <v>262</v>
      </c>
      <c r="B598" s="15" t="s">
        <v>266</v>
      </c>
      <c r="C598" s="15" t="s">
        <v>172</v>
      </c>
      <c r="D598" s="15" t="n">
        <v>0</v>
      </c>
      <c r="E598" s="15" t="n">
        <v>0</v>
      </c>
      <c r="F598" s="15" t="n">
        <v>0</v>
      </c>
      <c r="G598" s="10" t="str">
        <f aca="false">IF(OR(E598="",E598=0),"n/a",IF(F598&lt;0,"n/a",ROUND(F598/E598,1)))</f>
        <v>n/a</v>
      </c>
      <c r="H598" s="10" t="str">
        <f aca="false">IF(F598&lt;0,"Negative (check entry)",IF(OR(E598="",E598=0),IF(F598=0,"No Activity","OK"),IF(F598/E598&lt;0.5,"Low Stock",IF(F598/E598&gt;3,"Overstock","OK"))))</f>
        <v>No Activity</v>
      </c>
      <c r="I598" s="16"/>
    </row>
    <row r="599" customFormat="false" ht="15" hidden="false" customHeight="false" outlineLevel="0" collapsed="false">
      <c r="A599" s="15" t="s">
        <v>262</v>
      </c>
      <c r="B599" s="15" t="s">
        <v>266</v>
      </c>
      <c r="C599" s="15" t="s">
        <v>104</v>
      </c>
      <c r="D599" s="15" t="n">
        <v>5716</v>
      </c>
      <c r="E599" s="15" t="n">
        <v>182</v>
      </c>
      <c r="F599" s="15" t="n">
        <v>5534</v>
      </c>
      <c r="G599" s="10" t="n">
        <f aca="false">IF(OR(E599="",E599=0),"n/a",IF(F599&lt;0,"n/a",ROUND(F599/E599,1)))</f>
        <v>30.4</v>
      </c>
      <c r="H599" s="10" t="str">
        <f aca="false">IF(F599&lt;0,"Negative (check entry)",IF(OR(E599="",E599=0),IF(F599=0,"No Activity","OK"),IF(F599/E599&lt;0.5,"Low Stock",IF(F599/E599&gt;3,"Overstock","OK"))))</f>
        <v>Overstock</v>
      </c>
      <c r="I599" s="16"/>
    </row>
    <row r="600" customFormat="false" ht="15" hidden="false" customHeight="false" outlineLevel="0" collapsed="false">
      <c r="A600" s="15" t="s">
        <v>92</v>
      </c>
      <c r="B600" s="15" t="s">
        <v>93</v>
      </c>
      <c r="C600" s="15" t="s">
        <v>97</v>
      </c>
      <c r="D600" s="15" t="n">
        <v>168</v>
      </c>
      <c r="E600" s="15" t="n">
        <v>77</v>
      </c>
      <c r="F600" s="15" t="n">
        <v>91</v>
      </c>
      <c r="G600" s="10" t="n">
        <f aca="false">IF(OR(E600="",E600=0),"n/a",IF(F600&lt;0,"n/a",ROUND(F600/E600,1)))</f>
        <v>1.2</v>
      </c>
      <c r="H600" s="10" t="str">
        <f aca="false">IF(F600&lt;0,"Negative (check entry)",IF(OR(E600="",E600=0),IF(F600=0,"No Activity","OK"),IF(F600/E600&lt;0.5,"Low Stock",IF(F600/E600&gt;3,"Overstock","OK"))))</f>
        <v>OK</v>
      </c>
      <c r="I600" s="16"/>
    </row>
    <row r="601" customFormat="false" ht="15" hidden="false" customHeight="false" outlineLevel="0" collapsed="false">
      <c r="A601" s="15" t="s">
        <v>92</v>
      </c>
      <c r="B601" s="15" t="s">
        <v>93</v>
      </c>
      <c r="C601" s="15" t="s">
        <v>59</v>
      </c>
      <c r="D601" s="15" t="n">
        <v>319</v>
      </c>
      <c r="E601" s="15" t="n">
        <v>147</v>
      </c>
      <c r="F601" s="15" t="n">
        <v>172</v>
      </c>
      <c r="G601" s="10" t="n">
        <f aca="false">IF(OR(E601="",E601=0),"n/a",IF(F601&lt;0,"n/a",ROUND(F601/E601,1)))</f>
        <v>1.2</v>
      </c>
      <c r="H601" s="10" t="str">
        <f aca="false">IF(F601&lt;0,"Negative (check entry)",IF(OR(E601="",E601=0),IF(F601=0,"No Activity","OK"),IF(F601/E601&lt;0.5,"Low Stock",IF(F601/E601&gt;3,"Overstock","OK"))))</f>
        <v>OK</v>
      </c>
      <c r="I601" s="16"/>
    </row>
    <row r="602" customFormat="false" ht="15" hidden="false" customHeight="false" outlineLevel="0" collapsed="false">
      <c r="A602" s="15" t="s">
        <v>92</v>
      </c>
      <c r="B602" s="15" t="s">
        <v>93</v>
      </c>
      <c r="C602" s="15" t="s">
        <v>38</v>
      </c>
      <c r="D602" s="15" t="n">
        <v>640</v>
      </c>
      <c r="E602" s="15" t="n">
        <v>148</v>
      </c>
      <c r="F602" s="15" t="n">
        <v>492</v>
      </c>
      <c r="G602" s="10" t="n">
        <f aca="false">IF(OR(E602="",E602=0),"n/a",IF(F602&lt;0,"n/a",ROUND(F602/E602,1)))</f>
        <v>3.3</v>
      </c>
      <c r="H602" s="10" t="str">
        <f aca="false">IF(F602&lt;0,"Negative (check entry)",IF(OR(E602="",E602=0),IF(F602=0,"No Activity","OK"),IF(F602/E602&lt;0.5,"Low Stock",IF(F602/E602&gt;3,"Overstock","OK"))))</f>
        <v>Overstock</v>
      </c>
      <c r="I602" s="16"/>
    </row>
    <row r="603" customFormat="false" ht="15" hidden="false" customHeight="false" outlineLevel="0" collapsed="false">
      <c r="A603" s="15" t="s">
        <v>92</v>
      </c>
      <c r="B603" s="15" t="s">
        <v>93</v>
      </c>
      <c r="C603" s="15" t="s">
        <v>100</v>
      </c>
      <c r="D603" s="15" t="n">
        <v>160</v>
      </c>
      <c r="E603" s="15" t="n">
        <v>90</v>
      </c>
      <c r="F603" s="15" t="n">
        <v>70</v>
      </c>
      <c r="G603" s="10" t="n">
        <f aca="false">IF(OR(E603="",E603=0),"n/a",IF(F603&lt;0,"n/a",ROUND(F603/E603,1)))</f>
        <v>0.8</v>
      </c>
      <c r="H603" s="10" t="str">
        <f aca="false">IF(F603&lt;0,"Negative (check entry)",IF(OR(E603="",E603=0),IF(F603=0,"No Activity","OK"),IF(F603/E603&lt;0.5,"Low Stock",IF(F603/E603&gt;3,"Overstock","OK"))))</f>
        <v>OK</v>
      </c>
      <c r="I603" s="16"/>
    </row>
    <row r="604" customFormat="false" ht="15" hidden="false" customHeight="false" outlineLevel="0" collapsed="false">
      <c r="A604" s="15" t="s">
        <v>92</v>
      </c>
      <c r="B604" s="15" t="s">
        <v>93</v>
      </c>
      <c r="C604" s="15" t="s">
        <v>120</v>
      </c>
      <c r="D604" s="15" t="n">
        <v>0</v>
      </c>
      <c r="E604" s="15" t="n">
        <v>0</v>
      </c>
      <c r="F604" s="15" t="n">
        <v>0</v>
      </c>
      <c r="G604" s="10" t="str">
        <f aca="false">IF(OR(E604="",E604=0),"n/a",IF(F604&lt;0,"n/a",ROUND(F604/E604,1)))</f>
        <v>n/a</v>
      </c>
      <c r="H604" s="10" t="str">
        <f aca="false">IF(F604&lt;0,"Negative (check entry)",IF(OR(E604="",E604=0),IF(F604=0,"No Activity","OK"),IF(F604/E604&lt;0.5,"Low Stock",IF(F604/E604&gt;3,"Overstock","OK"))))</f>
        <v>No Activity</v>
      </c>
      <c r="I604" s="16"/>
    </row>
    <row r="605" customFormat="false" ht="15" hidden="false" customHeight="false" outlineLevel="0" collapsed="false">
      <c r="A605" s="15" t="s">
        <v>92</v>
      </c>
      <c r="B605" s="15" t="s">
        <v>93</v>
      </c>
      <c r="C605" s="15" t="s">
        <v>88</v>
      </c>
      <c r="D605" s="15" t="n">
        <v>2</v>
      </c>
      <c r="E605" s="15" t="n">
        <v>2</v>
      </c>
      <c r="F605" s="15" t="n">
        <v>0</v>
      </c>
      <c r="G605" s="10" t="n">
        <f aca="false">IF(OR(E605="",E605=0),"n/a",IF(F605&lt;0,"n/a",ROUND(F605/E605,1)))</f>
        <v>0</v>
      </c>
      <c r="H605" s="10" t="str">
        <f aca="false">IF(F605&lt;0,"Negative (check entry)",IF(OR(E605="",E605=0),IF(F605=0,"No Activity","OK"),IF(F605/E605&lt;0.5,"Low Stock",IF(F605/E605&gt;3,"Overstock","OK"))))</f>
        <v>Low Stock</v>
      </c>
      <c r="I605" s="16"/>
    </row>
    <row r="606" customFormat="false" ht="15" hidden="false" customHeight="false" outlineLevel="0" collapsed="false">
      <c r="A606" s="15" t="s">
        <v>92</v>
      </c>
      <c r="B606" s="15" t="s">
        <v>93</v>
      </c>
      <c r="C606" s="15" t="s">
        <v>178</v>
      </c>
      <c r="D606" s="15" t="n">
        <v>0</v>
      </c>
      <c r="E606" s="15" t="n">
        <v>0</v>
      </c>
      <c r="F606" s="15" t="n">
        <v>0</v>
      </c>
      <c r="G606" s="10" t="str">
        <f aca="false">IF(OR(E606="",E606=0),"n/a",IF(F606&lt;0,"n/a",ROUND(F606/E606,1)))</f>
        <v>n/a</v>
      </c>
      <c r="H606" s="10" t="str">
        <f aca="false">IF(F606&lt;0,"Negative (check entry)",IF(OR(E606="",E606=0),IF(F606=0,"No Activity","OK"),IF(F606/E606&lt;0.5,"Low Stock",IF(F606/E606&gt;3,"Overstock","OK"))))</f>
        <v>No Activity</v>
      </c>
      <c r="I606" s="16"/>
    </row>
    <row r="607" customFormat="false" ht="15" hidden="false" customHeight="false" outlineLevel="0" collapsed="false">
      <c r="A607" s="15" t="s">
        <v>92</v>
      </c>
      <c r="B607" s="15" t="s">
        <v>268</v>
      </c>
      <c r="C607" s="15" t="s">
        <v>178</v>
      </c>
      <c r="D607" s="15" t="n">
        <v>0</v>
      </c>
      <c r="E607" s="15" t="n">
        <v>0</v>
      </c>
      <c r="F607" s="15" t="n">
        <v>0</v>
      </c>
      <c r="G607" s="10" t="str">
        <f aca="false">IF(OR(E607="",E607=0),"n/a",IF(F607&lt;0,"n/a",ROUND(F607/E607,1)))</f>
        <v>n/a</v>
      </c>
      <c r="H607" s="10" t="str">
        <f aca="false">IF(F607&lt;0,"Negative (check entry)",IF(OR(E607="",E607=0),IF(F607=0,"No Activity","OK"),IF(F607/E607&lt;0.5,"Low Stock",IF(F607/E607&gt;3,"Overstock","OK"))))</f>
        <v>No Activity</v>
      </c>
      <c r="I607" s="16"/>
    </row>
    <row r="608" customFormat="false" ht="15" hidden="false" customHeight="false" outlineLevel="0" collapsed="false">
      <c r="A608" s="15" t="s">
        <v>92</v>
      </c>
      <c r="B608" s="15" t="s">
        <v>268</v>
      </c>
      <c r="C608" s="15" t="s">
        <v>100</v>
      </c>
      <c r="D608" s="15" t="n">
        <v>0</v>
      </c>
      <c r="E608" s="15" t="n">
        <v>0</v>
      </c>
      <c r="F608" s="15" t="n">
        <v>0</v>
      </c>
      <c r="G608" s="10" t="str">
        <f aca="false">IF(OR(E608="",E608=0),"n/a",IF(F608&lt;0,"n/a",ROUND(F608/E608,1)))</f>
        <v>n/a</v>
      </c>
      <c r="H608" s="10" t="str">
        <f aca="false">IF(F608&lt;0,"Negative (check entry)",IF(OR(E608="",E608=0),IF(F608=0,"No Activity","OK"),IF(F608/E608&lt;0.5,"Low Stock",IF(F608/E608&gt;3,"Overstock","OK"))))</f>
        <v>No Activity</v>
      </c>
      <c r="I608" s="16"/>
    </row>
    <row r="609" customFormat="false" ht="15" hidden="false" customHeight="false" outlineLevel="0" collapsed="false">
      <c r="A609" s="15" t="s">
        <v>92</v>
      </c>
      <c r="B609" s="15" t="s">
        <v>268</v>
      </c>
      <c r="C609" s="15" t="s">
        <v>265</v>
      </c>
      <c r="D609" s="15" t="n">
        <v>0</v>
      </c>
      <c r="E609" s="15" t="n">
        <v>0</v>
      </c>
      <c r="F609" s="15" t="n">
        <v>0</v>
      </c>
      <c r="G609" s="10" t="str">
        <f aca="false">IF(OR(E609="",E609=0),"n/a",IF(F609&lt;0,"n/a",ROUND(F609/E609,1)))</f>
        <v>n/a</v>
      </c>
      <c r="H609" s="10" t="str">
        <f aca="false">IF(F609&lt;0,"Negative (check entry)",IF(OR(E609="",E609=0),IF(F609=0,"No Activity","OK"),IF(F609/E609&lt;0.5,"Low Stock",IF(F609/E609&gt;3,"Overstock","OK"))))</f>
        <v>No Activity</v>
      </c>
      <c r="I609" s="16"/>
    </row>
    <row r="610" customFormat="false" ht="15" hidden="false" customHeight="false" outlineLevel="0" collapsed="false">
      <c r="A610" s="15" t="s">
        <v>92</v>
      </c>
      <c r="B610" s="15" t="s">
        <v>268</v>
      </c>
      <c r="C610" s="15" t="s">
        <v>38</v>
      </c>
      <c r="D610" s="15" t="n">
        <v>0</v>
      </c>
      <c r="E610" s="15" t="n">
        <v>0</v>
      </c>
      <c r="F610" s="15" t="n">
        <v>0</v>
      </c>
      <c r="G610" s="10" t="str">
        <f aca="false">IF(OR(E610="",E610=0),"n/a",IF(F610&lt;0,"n/a",ROUND(F610/E610,1)))</f>
        <v>n/a</v>
      </c>
      <c r="H610" s="10" t="str">
        <f aca="false">IF(F610&lt;0,"Negative (check entry)",IF(OR(E610="",E610=0),IF(F610=0,"No Activity","OK"),IF(F610/E610&lt;0.5,"Low Stock",IF(F610/E610&gt;3,"Overstock","OK"))))</f>
        <v>No Activity</v>
      </c>
      <c r="I610" s="16"/>
    </row>
    <row r="611" customFormat="false" ht="15" hidden="false" customHeight="false" outlineLevel="0" collapsed="false">
      <c r="A611" s="15" t="s">
        <v>92</v>
      </c>
      <c r="B611" s="15" t="s">
        <v>268</v>
      </c>
      <c r="C611" s="15" t="s">
        <v>59</v>
      </c>
      <c r="D611" s="15" t="n">
        <v>0</v>
      </c>
      <c r="E611" s="15" t="n">
        <v>0</v>
      </c>
      <c r="F611" s="15" t="n">
        <v>0</v>
      </c>
      <c r="G611" s="10" t="str">
        <f aca="false">IF(OR(E611="",E611=0),"n/a",IF(F611&lt;0,"n/a",ROUND(F611/E611,1)))</f>
        <v>n/a</v>
      </c>
      <c r="H611" s="10" t="str">
        <f aca="false">IF(F611&lt;0,"Negative (check entry)",IF(OR(E611="",E611=0),IF(F611=0,"No Activity","OK"),IF(F611/E611&lt;0.5,"Low Stock",IF(F611/E611&gt;3,"Overstock","OK"))))</f>
        <v>No Activity</v>
      </c>
      <c r="I611" s="16"/>
    </row>
    <row r="612" customFormat="false" ht="15" hidden="false" customHeight="false" outlineLevel="0" collapsed="false">
      <c r="A612" s="15" t="s">
        <v>92</v>
      </c>
      <c r="B612" s="15" t="s">
        <v>268</v>
      </c>
      <c r="C612" s="15" t="s">
        <v>88</v>
      </c>
      <c r="D612" s="15" t="n">
        <v>0</v>
      </c>
      <c r="E612" s="15" t="n">
        <v>0</v>
      </c>
      <c r="F612" s="15" t="n">
        <v>0</v>
      </c>
      <c r="G612" s="10" t="str">
        <f aca="false">IF(OR(E612="",E612=0),"n/a",IF(F612&lt;0,"n/a",ROUND(F612/E612,1)))</f>
        <v>n/a</v>
      </c>
      <c r="H612" s="10" t="str">
        <f aca="false">IF(F612&lt;0,"Negative (check entry)",IF(OR(E612="",E612=0),IF(F612=0,"No Activity","OK"),IF(F612/E612&lt;0.5,"Low Stock",IF(F612/E612&gt;3,"Overstock","OK"))))</f>
        <v>No Activity</v>
      </c>
      <c r="I612" s="16"/>
    </row>
    <row r="613" customFormat="false" ht="15" hidden="false" customHeight="false" outlineLevel="0" collapsed="false">
      <c r="A613" s="15" t="s">
        <v>92</v>
      </c>
      <c r="B613" s="15" t="s">
        <v>268</v>
      </c>
      <c r="C613" s="15" t="s">
        <v>154</v>
      </c>
      <c r="D613" s="15" t="n">
        <v>0</v>
      </c>
      <c r="E613" s="15" t="n">
        <v>0</v>
      </c>
      <c r="F613" s="15" t="n">
        <v>0</v>
      </c>
      <c r="G613" s="10" t="str">
        <f aca="false">IF(OR(E613="",E613=0),"n/a",IF(F613&lt;0,"n/a",ROUND(F613/E613,1)))</f>
        <v>n/a</v>
      </c>
      <c r="H613" s="10" t="str">
        <f aca="false">IF(F613&lt;0,"Negative (check entry)",IF(OR(E613="",E613=0),IF(F613=0,"No Activity","OK"),IF(F613/E613&lt;0.5,"Low Stock",IF(F613/E613&gt;3,"Overstock","OK"))))</f>
        <v>No Activity</v>
      </c>
      <c r="I613" s="16"/>
    </row>
    <row r="614" customFormat="false" ht="15" hidden="false" customHeight="false" outlineLevel="0" collapsed="false">
      <c r="A614" s="15" t="s">
        <v>92</v>
      </c>
      <c r="B614" s="15" t="s">
        <v>268</v>
      </c>
      <c r="C614" s="15" t="s">
        <v>255</v>
      </c>
      <c r="D614" s="15" t="n">
        <v>0</v>
      </c>
      <c r="E614" s="15" t="n">
        <v>0</v>
      </c>
      <c r="F614" s="15" t="n">
        <v>0</v>
      </c>
      <c r="G614" s="10" t="str">
        <f aca="false">IF(OR(E614="",E614=0),"n/a",IF(F614&lt;0,"n/a",ROUND(F614/E614,1)))</f>
        <v>n/a</v>
      </c>
      <c r="H614" s="10" t="str">
        <f aca="false">IF(F614&lt;0,"Negative (check entry)",IF(OR(E614="",E614=0),IF(F614=0,"No Activity","OK"),IF(F614/E614&lt;0.5,"Low Stock",IF(F614/E614&gt;3,"Overstock","OK"))))</f>
        <v>No Activity</v>
      </c>
      <c r="I614" s="16"/>
    </row>
    <row r="615" customFormat="false" ht="15" hidden="false" customHeight="false" outlineLevel="0" collapsed="false">
      <c r="A615" s="15" t="s">
        <v>92</v>
      </c>
      <c r="B615" s="15" t="s">
        <v>269</v>
      </c>
      <c r="C615" s="15" t="s">
        <v>255</v>
      </c>
      <c r="D615" s="15" t="n">
        <v>64</v>
      </c>
      <c r="E615" s="15" t="n">
        <v>0</v>
      </c>
      <c r="F615" s="15" t="n">
        <v>64</v>
      </c>
      <c r="G615" s="10" t="str">
        <f aca="false">IF(OR(E615="",E615=0),"n/a",IF(F615&lt;0,"n/a",ROUND(F615/E615,1)))</f>
        <v>n/a</v>
      </c>
      <c r="H615" s="10" t="str">
        <f aca="false">IF(F615&lt;0,"Negative (check entry)",IF(OR(E615="",E615=0),IF(F615=0,"No Activity","OK"),IF(F615/E615&lt;0.5,"Low Stock",IF(F615/E615&gt;3,"Overstock","OK"))))</f>
        <v>OK</v>
      </c>
      <c r="I615" s="16"/>
    </row>
    <row r="616" customFormat="false" ht="15" hidden="false" customHeight="false" outlineLevel="0" collapsed="false">
      <c r="A616" s="15" t="s">
        <v>92</v>
      </c>
      <c r="B616" s="15" t="s">
        <v>269</v>
      </c>
      <c r="C616" s="15" t="s">
        <v>41</v>
      </c>
      <c r="D616" s="15" t="n">
        <v>0</v>
      </c>
      <c r="E616" s="15" t="n">
        <v>0</v>
      </c>
      <c r="F616" s="15" t="n">
        <v>0</v>
      </c>
      <c r="G616" s="10" t="str">
        <f aca="false">IF(OR(E616="",E616=0),"n/a",IF(F616&lt;0,"n/a",ROUND(F616/E616,1)))</f>
        <v>n/a</v>
      </c>
      <c r="H616" s="10" t="str">
        <f aca="false">IF(F616&lt;0,"Negative (check entry)",IF(OR(E616="",E616=0),IF(F616=0,"No Activity","OK"),IF(F616/E616&lt;0.5,"Low Stock",IF(F616/E616&gt;3,"Overstock","OK"))))</f>
        <v>No Activity</v>
      </c>
      <c r="I616" s="16"/>
    </row>
    <row r="617" customFormat="false" ht="15" hidden="false" customHeight="false" outlineLevel="0" collapsed="false">
      <c r="A617" s="15" t="s">
        <v>92</v>
      </c>
      <c r="B617" s="15" t="s">
        <v>269</v>
      </c>
      <c r="C617" s="15" t="s">
        <v>196</v>
      </c>
      <c r="D617" s="15" t="n">
        <v>276</v>
      </c>
      <c r="E617" s="15" t="n">
        <v>10</v>
      </c>
      <c r="F617" s="15" t="n">
        <v>266</v>
      </c>
      <c r="G617" s="10" t="n">
        <f aca="false">IF(OR(E617="",E617=0),"n/a",IF(F617&lt;0,"n/a",ROUND(F617/E617,1)))</f>
        <v>26.6</v>
      </c>
      <c r="H617" s="10" t="str">
        <f aca="false">IF(F617&lt;0,"Negative (check entry)",IF(OR(E617="",E617=0),IF(F617=0,"No Activity","OK"),IF(F617/E617&lt;0.5,"Low Stock",IF(F617/E617&gt;3,"Overstock","OK"))))</f>
        <v>Overstock</v>
      </c>
      <c r="I617" s="16"/>
    </row>
    <row r="618" customFormat="false" ht="15" hidden="false" customHeight="false" outlineLevel="0" collapsed="false">
      <c r="A618" s="15" t="s">
        <v>92</v>
      </c>
      <c r="B618" s="15" t="s">
        <v>269</v>
      </c>
      <c r="C618" s="15" t="s">
        <v>88</v>
      </c>
      <c r="D618" s="15" t="n">
        <v>0</v>
      </c>
      <c r="E618" s="15" t="n">
        <v>0</v>
      </c>
      <c r="F618" s="15" t="n">
        <v>0</v>
      </c>
      <c r="G618" s="10" t="str">
        <f aca="false">IF(OR(E618="",E618=0),"n/a",IF(F618&lt;0,"n/a",ROUND(F618/E618,1)))</f>
        <v>n/a</v>
      </c>
      <c r="H618" s="10" t="str">
        <f aca="false">IF(F618&lt;0,"Negative (check entry)",IF(OR(E618="",E618=0),IF(F618=0,"No Activity","OK"),IF(F618/E618&lt;0.5,"Low Stock",IF(F618/E618&gt;3,"Overstock","OK"))))</f>
        <v>No Activity</v>
      </c>
      <c r="I618" s="16"/>
    </row>
    <row r="619" customFormat="false" ht="15" hidden="false" customHeight="false" outlineLevel="0" collapsed="false">
      <c r="A619" s="15" t="s">
        <v>92</v>
      </c>
      <c r="B619" s="15" t="s">
        <v>269</v>
      </c>
      <c r="C619" s="15" t="s">
        <v>267</v>
      </c>
      <c r="D619" s="15" t="n">
        <v>0</v>
      </c>
      <c r="E619" s="15" t="n">
        <v>0</v>
      </c>
      <c r="F619" s="15" t="n">
        <v>0</v>
      </c>
      <c r="G619" s="10" t="str">
        <f aca="false">IF(OR(E619="",E619=0),"n/a",IF(F619&lt;0,"n/a",ROUND(F619/E619,1)))</f>
        <v>n/a</v>
      </c>
      <c r="H619" s="10" t="str">
        <f aca="false">IF(F619&lt;0,"Negative (check entry)",IF(OR(E619="",E619=0),IF(F619=0,"No Activity","OK"),IF(F619/E619&lt;0.5,"Low Stock",IF(F619/E619&gt;3,"Overstock","OK"))))</f>
        <v>No Activity</v>
      </c>
      <c r="I619" s="16"/>
    </row>
    <row r="620" customFormat="false" ht="15" hidden="false" customHeight="false" outlineLevel="0" collapsed="false">
      <c r="A620" s="15" t="s">
        <v>92</v>
      </c>
      <c r="B620" s="15" t="s">
        <v>269</v>
      </c>
      <c r="C620" s="15" t="s">
        <v>127</v>
      </c>
      <c r="D620" s="15" t="n">
        <v>1</v>
      </c>
      <c r="E620" s="15" t="n">
        <v>0</v>
      </c>
      <c r="F620" s="15" t="n">
        <v>1</v>
      </c>
      <c r="G620" s="10" t="str">
        <f aca="false">IF(OR(E620="",E620=0),"n/a",IF(F620&lt;0,"n/a",ROUND(F620/E620,1)))</f>
        <v>n/a</v>
      </c>
      <c r="H620" s="10" t="str">
        <f aca="false">IF(F620&lt;0,"Negative (check entry)",IF(OR(E620="",E620=0),IF(F620=0,"No Activity","OK"),IF(F620/E620&lt;0.5,"Low Stock",IF(F620/E620&gt;3,"Overstock","OK"))))</f>
        <v>OK</v>
      </c>
      <c r="I620" s="16"/>
    </row>
    <row r="621" customFormat="false" ht="15" hidden="false" customHeight="false" outlineLevel="0" collapsed="false">
      <c r="A621" s="15" t="s">
        <v>92</v>
      </c>
      <c r="B621" s="15" t="s">
        <v>269</v>
      </c>
      <c r="C621" s="15" t="s">
        <v>52</v>
      </c>
      <c r="D621" s="15" t="n">
        <v>200</v>
      </c>
      <c r="E621" s="15" t="n">
        <v>6</v>
      </c>
      <c r="F621" s="15" t="n">
        <v>194</v>
      </c>
      <c r="G621" s="10" t="n">
        <f aca="false">IF(OR(E621="",E621=0),"n/a",IF(F621&lt;0,"n/a",ROUND(F621/E621,1)))</f>
        <v>32.3</v>
      </c>
      <c r="H621" s="10" t="str">
        <f aca="false">IF(F621&lt;0,"Negative (check entry)",IF(OR(E621="",E621=0),IF(F621=0,"No Activity","OK"),IF(F621/E621&lt;0.5,"Low Stock",IF(F621/E621&gt;3,"Overstock","OK"))))</f>
        <v>Overstock</v>
      </c>
      <c r="I621" s="16"/>
    </row>
    <row r="622" customFormat="false" ht="15" hidden="false" customHeight="false" outlineLevel="0" collapsed="false">
      <c r="A622" s="15" t="s">
        <v>92</v>
      </c>
      <c r="B622" s="15" t="s">
        <v>269</v>
      </c>
      <c r="C622" s="15" t="s">
        <v>154</v>
      </c>
      <c r="D622" s="15" t="n">
        <v>520</v>
      </c>
      <c r="E622" s="15" t="n">
        <v>10</v>
      </c>
      <c r="F622" s="15" t="n">
        <v>510</v>
      </c>
      <c r="G622" s="10" t="n">
        <f aca="false">IF(OR(E622="",E622=0),"n/a",IF(F622&lt;0,"n/a",ROUND(F622/E622,1)))</f>
        <v>51</v>
      </c>
      <c r="H622" s="10" t="str">
        <f aca="false">IF(F622&lt;0,"Negative (check entry)",IF(OR(E622="",E622=0),IF(F622=0,"No Activity","OK"),IF(F622/E622&lt;0.5,"Low Stock",IF(F622/E622&gt;3,"Overstock","OK"))))</f>
        <v>Overstock</v>
      </c>
      <c r="I622" s="16"/>
    </row>
    <row r="623" customFormat="false" ht="15" hidden="false" customHeight="false" outlineLevel="0" collapsed="false">
      <c r="A623" s="15" t="s">
        <v>92</v>
      </c>
      <c r="B623" s="15" t="s">
        <v>269</v>
      </c>
      <c r="C623" s="15" t="s">
        <v>101</v>
      </c>
      <c r="D623" s="15" t="n">
        <v>2350</v>
      </c>
      <c r="E623" s="15" t="n">
        <v>490</v>
      </c>
      <c r="F623" s="15" t="n">
        <v>1860</v>
      </c>
      <c r="G623" s="10" t="n">
        <f aca="false">IF(OR(E623="",E623=0),"n/a",IF(F623&lt;0,"n/a",ROUND(F623/E623,1)))</f>
        <v>3.8</v>
      </c>
      <c r="H623" s="10" t="str">
        <f aca="false">IF(F623&lt;0,"Negative (check entry)",IF(OR(E623="",E623=0),IF(F623=0,"No Activity","OK"),IF(F623/E623&lt;0.5,"Low Stock",IF(F623/E623&gt;3,"Overstock","OK"))))</f>
        <v>Overstock</v>
      </c>
      <c r="I623" s="16"/>
    </row>
    <row r="624" customFormat="false" ht="15" hidden="false" customHeight="false" outlineLevel="0" collapsed="false">
      <c r="A624" s="15" t="s">
        <v>92</v>
      </c>
      <c r="B624" s="15" t="s">
        <v>269</v>
      </c>
      <c r="C624" s="15" t="s">
        <v>47</v>
      </c>
      <c r="D624" s="15" t="n">
        <v>0</v>
      </c>
      <c r="E624" s="15" t="n">
        <v>0</v>
      </c>
      <c r="F624" s="15" t="n">
        <v>0</v>
      </c>
      <c r="G624" s="10" t="str">
        <f aca="false">IF(OR(E624="",E624=0),"n/a",IF(F624&lt;0,"n/a",ROUND(F624/E624,1)))</f>
        <v>n/a</v>
      </c>
      <c r="H624" s="10" t="str">
        <f aca="false">IF(F624&lt;0,"Negative (check entry)",IF(OR(E624="",E624=0),IF(F624=0,"No Activity","OK"),IF(F624/E624&lt;0.5,"Low Stock",IF(F624/E624&gt;3,"Overstock","OK"))))</f>
        <v>No Activity</v>
      </c>
      <c r="I624" s="16"/>
    </row>
    <row r="625" customFormat="false" ht="15" hidden="false" customHeight="false" outlineLevel="0" collapsed="false">
      <c r="A625" s="15" t="s">
        <v>92</v>
      </c>
      <c r="B625" s="15" t="s">
        <v>269</v>
      </c>
      <c r="C625" s="15" t="s">
        <v>102</v>
      </c>
      <c r="D625" s="15" t="n">
        <v>2350</v>
      </c>
      <c r="E625" s="15" t="n">
        <v>490</v>
      </c>
      <c r="F625" s="15" t="n">
        <v>1860</v>
      </c>
      <c r="G625" s="10" t="n">
        <f aca="false">IF(OR(E625="",E625=0),"n/a",IF(F625&lt;0,"n/a",ROUND(F625/E625,1)))</f>
        <v>3.8</v>
      </c>
      <c r="H625" s="10" t="str">
        <f aca="false">IF(F625&lt;0,"Negative (check entry)",IF(OR(E625="",E625=0),IF(F625=0,"No Activity","OK"),IF(F625/E625&lt;0.5,"Low Stock",IF(F625/E625&gt;3,"Overstock","OK"))))</f>
        <v>Overstock</v>
      </c>
      <c r="I625" s="16"/>
    </row>
    <row r="626" customFormat="false" ht="15" hidden="false" customHeight="false" outlineLevel="0" collapsed="false">
      <c r="A626" s="15" t="s">
        <v>92</v>
      </c>
      <c r="B626" s="15" t="s">
        <v>269</v>
      </c>
      <c r="C626" s="15" t="s">
        <v>172</v>
      </c>
      <c r="D626" s="15" t="n">
        <v>0</v>
      </c>
      <c r="E626" s="15" t="n">
        <v>0</v>
      </c>
      <c r="F626" s="15" t="n">
        <v>0</v>
      </c>
      <c r="G626" s="10" t="str">
        <f aca="false">IF(OR(E626="",E626=0),"n/a",IF(F626&lt;0,"n/a",ROUND(F626/E626,1)))</f>
        <v>n/a</v>
      </c>
      <c r="H626" s="10" t="str">
        <f aca="false">IF(F626&lt;0,"Negative (check entry)",IF(OR(E626="",E626=0),IF(F626=0,"No Activity","OK"),IF(F626/E626&lt;0.5,"Low Stock",IF(F626/E626&gt;3,"Overstock","OK"))))</f>
        <v>No Activity</v>
      </c>
      <c r="I626" s="16"/>
    </row>
    <row r="627" customFormat="false" ht="15" hidden="false" customHeight="false" outlineLevel="0" collapsed="false">
      <c r="A627" s="15" t="s">
        <v>92</v>
      </c>
      <c r="B627" s="15" t="s">
        <v>269</v>
      </c>
      <c r="C627" s="15" t="s">
        <v>104</v>
      </c>
      <c r="D627" s="15" t="n">
        <v>2350</v>
      </c>
      <c r="E627" s="15" t="n">
        <v>490</v>
      </c>
      <c r="F627" s="15" t="n">
        <v>1860</v>
      </c>
      <c r="G627" s="10" t="n">
        <f aca="false">IF(OR(E627="",E627=0),"n/a",IF(F627&lt;0,"n/a",ROUND(F627/E627,1)))</f>
        <v>3.8</v>
      </c>
      <c r="H627" s="10" t="str">
        <f aca="false">IF(F627&lt;0,"Negative (check entry)",IF(OR(E627="",E627=0),IF(F627=0,"No Activity","OK"),IF(F627/E627&lt;0.5,"Low Stock",IF(F627/E627&gt;3,"Overstock","OK"))))</f>
        <v>Overstock</v>
      </c>
      <c r="I627" s="16"/>
    </row>
    <row r="628" customFormat="false" ht="15" hidden="false" customHeight="false" outlineLevel="0" collapsed="false">
      <c r="A628" s="15" t="s">
        <v>270</v>
      </c>
      <c r="B628" s="15" t="s">
        <v>271</v>
      </c>
      <c r="C628" s="15" t="s">
        <v>189</v>
      </c>
      <c r="D628" s="15" t="n">
        <v>198</v>
      </c>
      <c r="E628" s="15" t="n">
        <v>72</v>
      </c>
      <c r="F628" s="15" t="n">
        <v>126</v>
      </c>
      <c r="G628" s="10" t="n">
        <f aca="false">IF(OR(E628="",E628=0),"n/a",IF(F628&lt;0,"n/a",ROUND(F628/E628,1)))</f>
        <v>1.8</v>
      </c>
      <c r="H628" s="10" t="str">
        <f aca="false">IF(F628&lt;0,"Negative (check entry)",IF(OR(E628="",E628=0),IF(F628=0,"No Activity","OK"),IF(F628/E628&lt;0.5,"Low Stock",IF(F628/E628&gt;3,"Overstock","OK"))))</f>
        <v>OK</v>
      </c>
      <c r="I628" s="16"/>
    </row>
    <row r="629" customFormat="false" ht="15" hidden="false" customHeight="false" outlineLevel="0" collapsed="false">
      <c r="A629" s="15" t="s">
        <v>270</v>
      </c>
      <c r="B629" s="15" t="s">
        <v>271</v>
      </c>
      <c r="C629" s="15" t="s">
        <v>52</v>
      </c>
      <c r="D629" s="15" t="n">
        <v>228</v>
      </c>
      <c r="E629" s="15" t="n">
        <v>60</v>
      </c>
      <c r="F629" s="15" t="n">
        <v>168</v>
      </c>
      <c r="G629" s="10" t="n">
        <f aca="false">IF(OR(E629="",E629=0),"n/a",IF(F629&lt;0,"n/a",ROUND(F629/E629,1)))</f>
        <v>2.8</v>
      </c>
      <c r="H629" s="10" t="str">
        <f aca="false">IF(F629&lt;0,"Negative (check entry)",IF(OR(E629="",E629=0),IF(F629=0,"No Activity","OK"),IF(F629/E629&lt;0.5,"Low Stock",IF(F629/E629&gt;3,"Overstock","OK"))))</f>
        <v>OK</v>
      </c>
      <c r="I629" s="16"/>
    </row>
    <row r="630" customFormat="false" ht="15" hidden="false" customHeight="false" outlineLevel="0" collapsed="false">
      <c r="A630" s="15" t="s">
        <v>270</v>
      </c>
      <c r="B630" s="15" t="s">
        <v>271</v>
      </c>
      <c r="C630" s="15" t="s">
        <v>154</v>
      </c>
      <c r="D630" s="15" t="n">
        <v>252</v>
      </c>
      <c r="E630" s="15" t="n">
        <v>72</v>
      </c>
      <c r="F630" s="15" t="n">
        <v>180</v>
      </c>
      <c r="G630" s="10" t="n">
        <f aca="false">IF(OR(E630="",E630=0),"n/a",IF(F630&lt;0,"n/a",ROUND(F630/E630,1)))</f>
        <v>2.5</v>
      </c>
      <c r="H630" s="10" t="str">
        <f aca="false">IF(F630&lt;0,"Negative (check entry)",IF(OR(E630="",E630=0),IF(F630=0,"No Activity","OK"),IF(F630/E630&lt;0.5,"Low Stock",IF(F630/E630&gt;3,"Overstock","OK"))))</f>
        <v>OK</v>
      </c>
      <c r="I630" s="16"/>
    </row>
    <row r="631" customFormat="false" ht="15" hidden="false" customHeight="false" outlineLevel="0" collapsed="false">
      <c r="A631" s="15" t="s">
        <v>270</v>
      </c>
      <c r="B631" s="15" t="s">
        <v>271</v>
      </c>
      <c r="C631" s="15" t="s">
        <v>127</v>
      </c>
      <c r="D631" s="15" t="n">
        <v>108</v>
      </c>
      <c r="E631" s="15" t="n">
        <v>0</v>
      </c>
      <c r="F631" s="15" t="n">
        <v>108</v>
      </c>
      <c r="G631" s="10" t="str">
        <f aca="false">IF(OR(E631="",E631=0),"n/a",IF(F631&lt;0,"n/a",ROUND(F631/E631,1)))</f>
        <v>n/a</v>
      </c>
      <c r="H631" s="10" t="str">
        <f aca="false">IF(F631&lt;0,"Negative (check entry)",IF(OR(E631="",E631=0),IF(F631=0,"No Activity","OK"),IF(F631/E631&lt;0.5,"Low Stock",IF(F631/E631&gt;3,"Overstock","OK"))))</f>
        <v>OK</v>
      </c>
      <c r="I631" s="16"/>
    </row>
    <row r="632" customFormat="false" ht="15" hidden="false" customHeight="false" outlineLevel="0" collapsed="false">
      <c r="A632" s="15" t="s">
        <v>270</v>
      </c>
      <c r="B632" s="15" t="s">
        <v>271</v>
      </c>
      <c r="C632" s="15" t="s">
        <v>96</v>
      </c>
      <c r="D632" s="15" t="n">
        <v>360</v>
      </c>
      <c r="E632" s="15" t="n">
        <v>0</v>
      </c>
      <c r="F632" s="15" t="n">
        <v>360</v>
      </c>
      <c r="G632" s="10" t="str">
        <f aca="false">IF(OR(E632="",E632=0),"n/a",IF(F632&lt;0,"n/a",ROUND(F632/E632,1)))</f>
        <v>n/a</v>
      </c>
      <c r="H632" s="10" t="str">
        <f aca="false">IF(F632&lt;0,"Negative (check entry)",IF(OR(E632="",E632=0),IF(F632=0,"No Activity","OK"),IF(F632/E632&lt;0.5,"Low Stock",IF(F632/E632&gt;3,"Overstock","OK"))))</f>
        <v>OK</v>
      </c>
      <c r="I632" s="16"/>
    </row>
    <row r="633" customFormat="false" ht="15" hidden="false" customHeight="false" outlineLevel="0" collapsed="false">
      <c r="A633" s="15" t="s">
        <v>270</v>
      </c>
      <c r="B633" s="15" t="s">
        <v>271</v>
      </c>
      <c r="C633" s="15" t="s">
        <v>42</v>
      </c>
      <c r="D633" s="15" t="n">
        <v>0</v>
      </c>
      <c r="E633" s="15" t="n">
        <v>0</v>
      </c>
      <c r="F633" s="15" t="n">
        <v>0</v>
      </c>
      <c r="G633" s="10" t="str">
        <f aca="false">IF(OR(E633="",E633=0),"n/a",IF(F633&lt;0,"n/a",ROUND(F633/E633,1)))</f>
        <v>n/a</v>
      </c>
      <c r="H633" s="10" t="str">
        <f aca="false">IF(F633&lt;0,"Negative (check entry)",IF(OR(E633="",E633=0),IF(F633=0,"No Activity","OK"),IF(F633/E633&lt;0.5,"Low Stock",IF(F633/E633&gt;3,"Overstock","OK"))))</f>
        <v>No Activity</v>
      </c>
      <c r="I633" s="16"/>
    </row>
    <row r="634" customFormat="false" ht="15" hidden="false" customHeight="false" outlineLevel="0" collapsed="false">
      <c r="A634" s="15" t="s">
        <v>270</v>
      </c>
      <c r="B634" s="15" t="s">
        <v>271</v>
      </c>
      <c r="C634" s="15" t="s">
        <v>38</v>
      </c>
      <c r="D634" s="15" t="n">
        <v>474</v>
      </c>
      <c r="E634" s="15" t="n">
        <v>54</v>
      </c>
      <c r="F634" s="15" t="n">
        <v>420</v>
      </c>
      <c r="G634" s="10" t="n">
        <f aca="false">IF(OR(E634="",E634=0),"n/a",IF(F634&lt;0,"n/a",ROUND(F634/E634,1)))</f>
        <v>7.8</v>
      </c>
      <c r="H634" s="10" t="str">
        <f aca="false">IF(F634&lt;0,"Negative (check entry)",IF(OR(E634="",E634=0),IF(F634=0,"No Activity","OK"),IF(F634/E634&lt;0.5,"Low Stock",IF(F634/E634&gt;3,"Overstock","OK"))))</f>
        <v>Overstock</v>
      </c>
      <c r="I634" s="16"/>
    </row>
    <row r="635" customFormat="false" ht="15" hidden="false" customHeight="false" outlineLevel="0" collapsed="false">
      <c r="A635" s="15" t="s">
        <v>270</v>
      </c>
      <c r="B635" s="15" t="s">
        <v>271</v>
      </c>
      <c r="C635" s="15" t="s">
        <v>272</v>
      </c>
      <c r="D635" s="15" t="n">
        <v>0</v>
      </c>
      <c r="E635" s="15" t="n">
        <v>0</v>
      </c>
      <c r="F635" s="15" t="n">
        <v>0</v>
      </c>
      <c r="G635" s="10" t="str">
        <f aca="false">IF(OR(E635="",E635=0),"n/a",IF(F635&lt;0,"n/a",ROUND(F635/E635,1)))</f>
        <v>n/a</v>
      </c>
      <c r="H635" s="10" t="str">
        <f aca="false">IF(F635&lt;0,"Negative (check entry)",IF(OR(E635="",E635=0),IF(F635=0,"No Activity","OK"),IF(F635/E635&lt;0.5,"Low Stock",IF(F635/E635&gt;3,"Overstock","OK"))))</f>
        <v>No Activity</v>
      </c>
      <c r="I635" s="16"/>
    </row>
    <row r="636" customFormat="false" ht="15" hidden="false" customHeight="false" outlineLevel="0" collapsed="false">
      <c r="A636" s="15" t="s">
        <v>270</v>
      </c>
      <c r="B636" s="15" t="s">
        <v>271</v>
      </c>
      <c r="C636" s="15" t="s">
        <v>141</v>
      </c>
      <c r="D636" s="15" t="n">
        <v>840</v>
      </c>
      <c r="E636" s="15" t="n">
        <v>12</v>
      </c>
      <c r="F636" s="15" t="n">
        <v>828</v>
      </c>
      <c r="G636" s="10" t="n">
        <f aca="false">IF(OR(E636="",E636=0),"n/a",IF(F636&lt;0,"n/a",ROUND(F636/E636,1)))</f>
        <v>69</v>
      </c>
      <c r="H636" s="10" t="str">
        <f aca="false">IF(F636&lt;0,"Negative (check entry)",IF(OR(E636="",E636=0),IF(F636=0,"No Activity","OK"),IF(F636/E636&lt;0.5,"Low Stock",IF(F636/E636&gt;3,"Overstock","OK"))))</f>
        <v>Overstock</v>
      </c>
      <c r="I636" s="16"/>
    </row>
    <row r="637" customFormat="false" ht="15" hidden="false" customHeight="false" outlineLevel="0" collapsed="false">
      <c r="A637" s="15" t="s">
        <v>270</v>
      </c>
      <c r="B637" s="15" t="s">
        <v>271</v>
      </c>
      <c r="C637" s="15" t="s">
        <v>221</v>
      </c>
      <c r="D637" s="15" t="n">
        <v>0</v>
      </c>
      <c r="E637" s="15" t="n">
        <v>0</v>
      </c>
      <c r="F637" s="15" t="n">
        <v>0</v>
      </c>
      <c r="G637" s="10" t="str">
        <f aca="false">IF(OR(E637="",E637=0),"n/a",IF(F637&lt;0,"n/a",ROUND(F637/E637,1)))</f>
        <v>n/a</v>
      </c>
      <c r="H637" s="10" t="str">
        <f aca="false">IF(F637&lt;0,"Negative (check entry)",IF(OR(E637="",E637=0),IF(F637=0,"No Activity","OK"),IF(F637/E637&lt;0.5,"Low Stock",IF(F637/E637&gt;3,"Overstock","OK"))))</f>
        <v>No Activity</v>
      </c>
      <c r="I637" s="16"/>
    </row>
    <row r="638" customFormat="false" ht="15" hidden="false" customHeight="false" outlineLevel="0" collapsed="false">
      <c r="A638" s="15" t="s">
        <v>270</v>
      </c>
      <c r="B638" s="15" t="s">
        <v>271</v>
      </c>
      <c r="C638" s="15" t="s">
        <v>60</v>
      </c>
      <c r="D638" s="15" t="n">
        <v>318</v>
      </c>
      <c r="E638" s="15" t="n">
        <v>0</v>
      </c>
      <c r="F638" s="15" t="n">
        <v>318</v>
      </c>
      <c r="G638" s="10" t="str">
        <f aca="false">IF(OR(E638="",E638=0),"n/a",IF(F638&lt;0,"n/a",ROUND(F638/E638,1)))</f>
        <v>n/a</v>
      </c>
      <c r="H638" s="10" t="str">
        <f aca="false">IF(F638&lt;0,"Negative (check entry)",IF(OR(E638="",E638=0),IF(F638=0,"No Activity","OK"),IF(F638/E638&lt;0.5,"Low Stock",IF(F638/E638&gt;3,"Overstock","OK"))))</f>
        <v>OK</v>
      </c>
      <c r="I638" s="16"/>
    </row>
    <row r="639" customFormat="false" ht="15" hidden="false" customHeight="false" outlineLevel="0" collapsed="false">
      <c r="A639" s="15" t="s">
        <v>270</v>
      </c>
      <c r="B639" s="15" t="s">
        <v>271</v>
      </c>
      <c r="C639" s="15" t="s">
        <v>97</v>
      </c>
      <c r="D639" s="15" t="n">
        <v>0</v>
      </c>
      <c r="E639" s="15" t="n">
        <v>0</v>
      </c>
      <c r="F639" s="15" t="n">
        <v>0</v>
      </c>
      <c r="G639" s="10" t="str">
        <f aca="false">IF(OR(E639="",E639=0),"n/a",IF(F639&lt;0,"n/a",ROUND(F639/E639,1)))</f>
        <v>n/a</v>
      </c>
      <c r="H639" s="10" t="str">
        <f aca="false">IF(F639&lt;0,"Negative (check entry)",IF(OR(E639="",E639=0),IF(F639=0,"No Activity","OK"),IF(F639/E639&lt;0.5,"Low Stock",IF(F639/E639&gt;3,"Overstock","OK"))))</f>
        <v>No Activity</v>
      </c>
      <c r="I639" s="16"/>
    </row>
    <row r="640" customFormat="false" ht="15" hidden="false" customHeight="false" outlineLevel="0" collapsed="false">
      <c r="A640" s="15" t="s">
        <v>270</v>
      </c>
      <c r="B640" s="15" t="s">
        <v>271</v>
      </c>
      <c r="C640" s="15" t="s">
        <v>101</v>
      </c>
      <c r="D640" s="15" t="n">
        <v>2778</v>
      </c>
      <c r="E640" s="15" t="n">
        <v>270</v>
      </c>
      <c r="F640" s="15" t="n">
        <v>2508</v>
      </c>
      <c r="G640" s="10" t="n">
        <f aca="false">IF(OR(E640="",E640=0),"n/a",IF(F640&lt;0,"n/a",ROUND(F640/E640,1)))</f>
        <v>9.3</v>
      </c>
      <c r="H640" s="10" t="str">
        <f aca="false">IF(F640&lt;0,"Negative (check entry)",IF(OR(E640="",E640=0),IF(F640=0,"No Activity","OK"),IF(F640/E640&lt;0.5,"Low Stock",IF(F640/E640&gt;3,"Overstock","OK"))))</f>
        <v>Overstock</v>
      </c>
      <c r="I640" s="16"/>
    </row>
    <row r="641" customFormat="false" ht="15" hidden="false" customHeight="false" outlineLevel="0" collapsed="false">
      <c r="A641" s="15" t="s">
        <v>270</v>
      </c>
      <c r="B641" s="15" t="s">
        <v>271</v>
      </c>
      <c r="C641" s="15" t="s">
        <v>47</v>
      </c>
      <c r="D641" s="15" t="n">
        <v>12</v>
      </c>
      <c r="E641" s="15" t="n">
        <v>0</v>
      </c>
      <c r="F641" s="15" t="n">
        <v>12</v>
      </c>
      <c r="G641" s="10" t="str">
        <f aca="false">IF(OR(E641="",E641=0),"n/a",IF(F641&lt;0,"n/a",ROUND(F641/E641,1)))</f>
        <v>n/a</v>
      </c>
      <c r="H641" s="10" t="str">
        <f aca="false">IF(F641&lt;0,"Negative (check entry)",IF(OR(E641="",E641=0),IF(F641=0,"No Activity","OK"),IF(F641/E641&lt;0.5,"Low Stock",IF(F641/E641&gt;3,"Overstock","OK"))))</f>
        <v>OK</v>
      </c>
      <c r="I641" s="16"/>
    </row>
    <row r="642" customFormat="false" ht="15" hidden="false" customHeight="false" outlineLevel="0" collapsed="false">
      <c r="A642" s="15" t="s">
        <v>270</v>
      </c>
      <c r="B642" s="15" t="s">
        <v>271</v>
      </c>
      <c r="C642" s="15" t="s">
        <v>102</v>
      </c>
      <c r="D642" s="15" t="n">
        <v>2790</v>
      </c>
      <c r="E642" s="15" t="n">
        <v>270</v>
      </c>
      <c r="F642" s="15" t="n">
        <v>2520</v>
      </c>
      <c r="G642" s="10" t="n">
        <f aca="false">IF(OR(E642="",E642=0),"n/a",IF(F642&lt;0,"n/a",ROUND(F642/E642,1)))</f>
        <v>9.3</v>
      </c>
      <c r="H642" s="10" t="str">
        <f aca="false">IF(F642&lt;0,"Negative (check entry)",IF(OR(E642="",E642=0),IF(F642=0,"No Activity","OK"),IF(F642/E642&lt;0.5,"Low Stock",IF(F642/E642&gt;3,"Overstock","OK"))))</f>
        <v>Overstock</v>
      </c>
      <c r="I642" s="16"/>
    </row>
    <row r="643" customFormat="false" ht="15" hidden="false" customHeight="false" outlineLevel="0" collapsed="false">
      <c r="A643" s="15" t="s">
        <v>270</v>
      </c>
      <c r="B643" s="15" t="s">
        <v>271</v>
      </c>
      <c r="C643" s="15" t="s">
        <v>172</v>
      </c>
      <c r="D643" s="15" t="n">
        <v>0</v>
      </c>
      <c r="E643" s="15" t="n">
        <v>0</v>
      </c>
      <c r="F643" s="15" t="n">
        <v>0</v>
      </c>
      <c r="G643" s="10" t="str">
        <f aca="false">IF(OR(E643="",E643=0),"n/a",IF(F643&lt;0,"n/a",ROUND(F643/E643,1)))</f>
        <v>n/a</v>
      </c>
      <c r="H643" s="10" t="str">
        <f aca="false">IF(F643&lt;0,"Negative (check entry)",IF(OR(E643="",E643=0),IF(F643=0,"No Activity","OK"),IF(F643/E643&lt;0.5,"Low Stock",IF(F643/E643&gt;3,"Overstock","OK"))))</f>
        <v>No Activity</v>
      </c>
      <c r="I643" s="16"/>
    </row>
    <row r="644" customFormat="false" ht="15" hidden="false" customHeight="false" outlineLevel="0" collapsed="false">
      <c r="A644" s="15" t="s">
        <v>270</v>
      </c>
      <c r="B644" s="15" t="s">
        <v>271</v>
      </c>
      <c r="C644" s="15" t="s">
        <v>104</v>
      </c>
      <c r="D644" s="15" t="n">
        <v>2778</v>
      </c>
      <c r="E644" s="15" t="n">
        <v>270</v>
      </c>
      <c r="F644" s="15" t="n">
        <v>2508</v>
      </c>
      <c r="G644" s="10" t="n">
        <f aca="false">IF(OR(E644="",E644=0),"n/a",IF(F644&lt;0,"n/a",ROUND(F644/E644,1)))</f>
        <v>9.3</v>
      </c>
      <c r="H644" s="10" t="str">
        <f aca="false">IF(F644&lt;0,"Negative (check entry)",IF(OR(E644="",E644=0),IF(F644=0,"No Activity","OK"),IF(F644/E644&lt;0.5,"Low Stock",IF(F644/E644&gt;3,"Overstock","OK"))))</f>
        <v>Overstock</v>
      </c>
      <c r="I644" s="16"/>
    </row>
    <row r="645" customFormat="false" ht="15" hidden="false" customHeight="false" outlineLevel="0" collapsed="false">
      <c r="A645" s="15" t="s">
        <v>36</v>
      </c>
      <c r="B645" s="15" t="s">
        <v>55</v>
      </c>
      <c r="C645" s="15" t="s">
        <v>127</v>
      </c>
      <c r="D645" s="15" t="n">
        <v>0</v>
      </c>
      <c r="E645" s="15" t="n">
        <v>0</v>
      </c>
      <c r="F645" s="15" t="n">
        <v>0</v>
      </c>
      <c r="G645" s="10" t="str">
        <f aca="false">IF(OR(E645="",E645=0),"n/a",IF(F645&lt;0,"n/a",ROUND(F645/E645,1)))</f>
        <v>n/a</v>
      </c>
      <c r="H645" s="10" t="str">
        <f aca="false">IF(F645&lt;0,"Negative (check entry)",IF(OR(E645="",E645=0),IF(F645=0,"No Activity","OK"),IF(F645/E645&lt;0.5,"Low Stock",IF(F645/E645&gt;3,"Overstock","OK"))))</f>
        <v>No Activity</v>
      </c>
      <c r="I645" s="16"/>
    </row>
    <row r="646" customFormat="false" ht="15" hidden="false" customHeight="false" outlineLevel="0" collapsed="false">
      <c r="A646" s="15" t="s">
        <v>36</v>
      </c>
      <c r="B646" s="15" t="s">
        <v>55</v>
      </c>
      <c r="C646" s="15" t="s">
        <v>56</v>
      </c>
      <c r="D646" s="15" t="n">
        <v>0</v>
      </c>
      <c r="E646" s="15" t="n">
        <v>160</v>
      </c>
      <c r="F646" s="15" t="n">
        <v>-160</v>
      </c>
      <c r="G646" s="10" t="str">
        <f aca="false">IF(OR(E646="",E646=0),"n/a",IF(F646&lt;0,"n/a",ROUND(F646/E646,1)))</f>
        <v>n/a</v>
      </c>
      <c r="H646" s="10" t="str">
        <f aca="false">IF(F646&lt;0,"Negative (check entry)",IF(OR(E646="",E646=0),IF(F646=0,"No Activity","OK"),IF(F646/E646&lt;0.5,"Low Stock",IF(F646/E646&gt;3,"Overstock","OK"))))</f>
        <v>Negative (check entry)</v>
      </c>
      <c r="I646" s="16"/>
    </row>
    <row r="647" customFormat="false" ht="15" hidden="false" customHeight="false" outlineLevel="0" collapsed="false">
      <c r="A647" s="15" t="s">
        <v>36</v>
      </c>
      <c r="B647" s="15" t="s">
        <v>55</v>
      </c>
      <c r="C647" s="15" t="s">
        <v>73</v>
      </c>
      <c r="D647" s="15" t="n">
        <v>0</v>
      </c>
      <c r="E647" s="15" t="n">
        <v>20</v>
      </c>
      <c r="F647" s="15" t="n">
        <v>-20</v>
      </c>
      <c r="G647" s="10" t="str">
        <f aca="false">IF(OR(E647="",E647=0),"n/a",IF(F647&lt;0,"n/a",ROUND(F647/E647,1)))</f>
        <v>n/a</v>
      </c>
      <c r="H647" s="10" t="str">
        <f aca="false">IF(F647&lt;0,"Negative (check entry)",IF(OR(E647="",E647=0),IF(F647=0,"No Activity","OK"),IF(F647/E647&lt;0.5,"Low Stock",IF(F647/E647&gt;3,"Overstock","OK"))))</f>
        <v>Negative (check entry)</v>
      </c>
      <c r="I647" s="16"/>
    </row>
    <row r="648" customFormat="false" ht="15" hidden="false" customHeight="false" outlineLevel="0" collapsed="false">
      <c r="A648" s="15" t="s">
        <v>36</v>
      </c>
      <c r="B648" s="15" t="s">
        <v>55</v>
      </c>
      <c r="C648" s="15" t="s">
        <v>86</v>
      </c>
      <c r="D648" s="15" t="n">
        <v>0</v>
      </c>
      <c r="E648" s="15" t="n">
        <v>0</v>
      </c>
      <c r="F648" s="15" t="n">
        <v>0</v>
      </c>
      <c r="G648" s="10" t="str">
        <f aca="false">IF(OR(E648="",E648=0),"n/a",IF(F648&lt;0,"n/a",ROUND(F648/E648,1)))</f>
        <v>n/a</v>
      </c>
      <c r="H648" s="10" t="str">
        <f aca="false">IF(F648&lt;0,"Negative (check entry)",IF(OR(E648="",E648=0),IF(F648=0,"No Activity","OK"),IF(F648/E648&lt;0.5,"Low Stock",IF(F648/E648&gt;3,"Overstock","OK"))))</f>
        <v>No Activity</v>
      </c>
      <c r="I648" s="16"/>
    </row>
    <row r="649" customFormat="false" ht="15" hidden="false" customHeight="false" outlineLevel="0" collapsed="false">
      <c r="A649" s="15" t="s">
        <v>36</v>
      </c>
      <c r="B649" s="15" t="s">
        <v>55</v>
      </c>
      <c r="C649" s="15" t="s">
        <v>96</v>
      </c>
      <c r="D649" s="15" t="n">
        <v>0</v>
      </c>
      <c r="E649" s="15" t="n">
        <v>0</v>
      </c>
      <c r="F649" s="15" t="n">
        <v>0</v>
      </c>
      <c r="G649" s="10" t="str">
        <f aca="false">IF(OR(E649="",E649=0),"n/a",IF(F649&lt;0,"n/a",ROUND(F649/E649,1)))</f>
        <v>n/a</v>
      </c>
      <c r="H649" s="10" t="str">
        <f aca="false">IF(F649&lt;0,"Negative (check entry)",IF(OR(E649="",E649=0),IF(F649=0,"No Activity","OK"),IF(F649/E649&lt;0.5,"Low Stock",IF(F649/E649&gt;3,"Overstock","OK"))))</f>
        <v>No Activity</v>
      </c>
      <c r="I649" s="16"/>
    </row>
    <row r="650" customFormat="false" ht="15" hidden="false" customHeight="false" outlineLevel="0" collapsed="false">
      <c r="A650" s="15" t="s">
        <v>36</v>
      </c>
      <c r="B650" s="15" t="s">
        <v>55</v>
      </c>
      <c r="C650" s="15" t="s">
        <v>72</v>
      </c>
      <c r="D650" s="15" t="n">
        <v>0</v>
      </c>
      <c r="E650" s="15" t="n">
        <v>0</v>
      </c>
      <c r="F650" s="15" t="n">
        <v>0</v>
      </c>
      <c r="G650" s="10" t="str">
        <f aca="false">IF(OR(E650="",E650=0),"n/a",IF(F650&lt;0,"n/a",ROUND(F650/E650,1)))</f>
        <v>n/a</v>
      </c>
      <c r="H650" s="10" t="str">
        <f aca="false">IF(F650&lt;0,"Negative (check entry)",IF(OR(E650="",E650=0),IF(F650=0,"No Activity","OK"),IF(F650/E650&lt;0.5,"Low Stock",IF(F650/E650&gt;3,"Overstock","OK"))))</f>
        <v>No Activity</v>
      </c>
      <c r="I650" s="16"/>
    </row>
    <row r="651" customFormat="false" ht="15" hidden="false" customHeight="false" outlineLevel="0" collapsed="false">
      <c r="A651" s="15" t="s">
        <v>36</v>
      </c>
      <c r="B651" s="15" t="s">
        <v>55</v>
      </c>
      <c r="C651" s="15" t="s">
        <v>52</v>
      </c>
      <c r="D651" s="15" t="n">
        <v>0</v>
      </c>
      <c r="E651" s="15" t="n">
        <v>140</v>
      </c>
      <c r="F651" s="15" t="n">
        <v>-140</v>
      </c>
      <c r="G651" s="10" t="str">
        <f aca="false">IF(OR(E651="",E651=0),"n/a",IF(F651&lt;0,"n/a",ROUND(F651/E651,1)))</f>
        <v>n/a</v>
      </c>
      <c r="H651" s="10" t="str">
        <f aca="false">IF(F651&lt;0,"Negative (check entry)",IF(OR(E651="",E651=0),IF(F651=0,"No Activity","OK"),IF(F651/E651&lt;0.5,"Low Stock",IF(F651/E651&gt;3,"Overstock","OK"))))</f>
        <v>Negative (check entry)</v>
      </c>
      <c r="I651" s="16"/>
    </row>
    <row r="652" customFormat="false" ht="15" hidden="false" customHeight="false" outlineLevel="0" collapsed="false">
      <c r="A652" s="15" t="s">
        <v>36</v>
      </c>
      <c r="B652" s="15" t="s">
        <v>273</v>
      </c>
      <c r="C652" s="15" t="s">
        <v>182</v>
      </c>
      <c r="D652" s="15" t="n">
        <v>320</v>
      </c>
      <c r="E652" s="15" t="n">
        <v>32</v>
      </c>
      <c r="F652" s="15" t="n">
        <v>288</v>
      </c>
      <c r="G652" s="10" t="n">
        <f aca="false">IF(OR(E652="",E652=0),"n/a",IF(F652&lt;0,"n/a",ROUND(F652/E652,1)))</f>
        <v>9</v>
      </c>
      <c r="H652" s="10" t="str">
        <f aca="false">IF(F652&lt;0,"Negative (check entry)",IF(OR(E652="",E652=0),IF(F652=0,"No Activity","OK"),IF(F652/E652&lt;0.5,"Low Stock",IF(F652/E652&gt;3,"Overstock","OK"))))</f>
        <v>Overstock</v>
      </c>
      <c r="I652" s="16"/>
    </row>
    <row r="653" customFormat="false" ht="15" hidden="false" customHeight="false" outlineLevel="0" collapsed="false">
      <c r="A653" s="15" t="s">
        <v>36</v>
      </c>
      <c r="B653" s="15" t="s">
        <v>273</v>
      </c>
      <c r="C653" s="15" t="s">
        <v>52</v>
      </c>
      <c r="D653" s="15" t="n">
        <v>0</v>
      </c>
      <c r="E653" s="15" t="n">
        <v>0</v>
      </c>
      <c r="F653" s="15" t="n">
        <v>0</v>
      </c>
      <c r="G653" s="10" t="str">
        <f aca="false">IF(OR(E653="",E653=0),"n/a",IF(F653&lt;0,"n/a",ROUND(F653/E653,1)))</f>
        <v>n/a</v>
      </c>
      <c r="H653" s="10" t="str">
        <f aca="false">IF(F653&lt;0,"Negative (check entry)",IF(OR(E653="",E653=0),IF(F653=0,"No Activity","OK"),IF(F653/E653&lt;0.5,"Low Stock",IF(F653/E653&gt;3,"Overstock","OK"))))</f>
        <v>No Activity</v>
      </c>
      <c r="I653" s="16"/>
    </row>
    <row r="654" customFormat="false" ht="15" hidden="false" customHeight="false" outlineLevel="0" collapsed="false">
      <c r="A654" s="15" t="s">
        <v>36</v>
      </c>
      <c r="B654" s="15" t="s">
        <v>273</v>
      </c>
      <c r="C654" s="15" t="s">
        <v>265</v>
      </c>
      <c r="D654" s="15" t="n">
        <v>0</v>
      </c>
      <c r="E654" s="15" t="n">
        <v>0</v>
      </c>
      <c r="F654" s="15" t="n">
        <v>0</v>
      </c>
      <c r="G654" s="10" t="str">
        <f aca="false">IF(OR(E654="",E654=0),"n/a",IF(F654&lt;0,"n/a",ROUND(F654/E654,1)))</f>
        <v>n/a</v>
      </c>
      <c r="H654" s="10" t="str">
        <f aca="false">IF(F654&lt;0,"Negative (check entry)",IF(OR(E654="",E654=0),IF(F654=0,"No Activity","OK"),IF(F654/E654&lt;0.5,"Low Stock",IF(F654/E654&gt;3,"Overstock","OK"))))</f>
        <v>No Activity</v>
      </c>
      <c r="I654" s="16"/>
    </row>
    <row r="655" customFormat="false" ht="15" hidden="false" customHeight="false" outlineLevel="0" collapsed="false">
      <c r="A655" s="15" t="s">
        <v>36</v>
      </c>
      <c r="B655" s="15" t="s">
        <v>273</v>
      </c>
      <c r="C655" s="15" t="s">
        <v>38</v>
      </c>
      <c r="D655" s="15" t="n">
        <v>720</v>
      </c>
      <c r="E655" s="15" t="n">
        <v>896</v>
      </c>
      <c r="F655" s="15" t="n">
        <v>1696</v>
      </c>
      <c r="G655" s="10" t="n">
        <f aca="false">IF(OR(E655="",E655=0),"n/a",IF(F655&lt;0,"n/a",ROUND(F655/E655,1)))</f>
        <v>1.9</v>
      </c>
      <c r="H655" s="10" t="str">
        <f aca="false">IF(F655&lt;0,"Negative (check entry)",IF(OR(E655="",E655=0),IF(F655=0,"No Activity","OK"),IF(F655/E655&lt;0.5,"Low Stock",IF(F655/E655&gt;3,"Overstock","OK"))))</f>
        <v>OK</v>
      </c>
      <c r="I655" s="16"/>
    </row>
    <row r="656" customFormat="false" ht="15" hidden="false" customHeight="false" outlineLevel="0" collapsed="false">
      <c r="A656" s="15" t="s">
        <v>36</v>
      </c>
      <c r="B656" s="15" t="s">
        <v>273</v>
      </c>
      <c r="C656" s="15" t="s">
        <v>59</v>
      </c>
      <c r="D656" s="15" t="n">
        <v>0</v>
      </c>
      <c r="E656" s="15" t="n">
        <v>544</v>
      </c>
      <c r="F656" s="15" t="n">
        <v>544</v>
      </c>
      <c r="G656" s="10" t="n">
        <f aca="false">IF(OR(E656="",E656=0),"n/a",IF(F656&lt;0,"n/a",ROUND(F656/E656,1)))</f>
        <v>1</v>
      </c>
      <c r="H656" s="10" t="str">
        <f aca="false">IF(F656&lt;0,"Negative (check entry)",IF(OR(E656="",E656=0),IF(F656=0,"No Activity","OK"),IF(F656/E656&lt;0.5,"Low Stock",IF(F656/E656&gt;3,"Overstock","OK"))))</f>
        <v>OK</v>
      </c>
      <c r="I656" s="16"/>
    </row>
    <row r="657" customFormat="false" ht="15" hidden="false" customHeight="false" outlineLevel="0" collapsed="false">
      <c r="A657" s="15" t="s">
        <v>36</v>
      </c>
      <c r="B657" s="15" t="s">
        <v>273</v>
      </c>
      <c r="C657" s="15" t="s">
        <v>98</v>
      </c>
      <c r="D657" s="15" t="n">
        <v>544</v>
      </c>
      <c r="E657" s="15" t="n">
        <v>128</v>
      </c>
      <c r="F657" s="15" t="n">
        <v>416</v>
      </c>
      <c r="G657" s="10" t="n">
        <f aca="false">IF(OR(E657="",E657=0),"n/a",IF(F657&lt;0,"n/a",ROUND(F657/E657,1)))</f>
        <v>3.3</v>
      </c>
      <c r="H657" s="10" t="str">
        <f aca="false">IF(F657&lt;0,"Negative (check entry)",IF(OR(E657="",E657=0),IF(F657=0,"No Activity","OK"),IF(F657/E657&lt;0.5,"Low Stock",IF(F657/E657&gt;3,"Overstock","OK"))))</f>
        <v>Overstock</v>
      </c>
      <c r="I657" s="16"/>
    </row>
    <row r="658" customFormat="false" ht="15" hidden="false" customHeight="false" outlineLevel="0" collapsed="false">
      <c r="A658" s="15" t="s">
        <v>36</v>
      </c>
      <c r="B658" s="15" t="s">
        <v>273</v>
      </c>
      <c r="C658" s="15" t="s">
        <v>274</v>
      </c>
      <c r="D658" s="15" t="n">
        <v>928</v>
      </c>
      <c r="E658" s="15" t="n">
        <v>48</v>
      </c>
      <c r="F658" s="15" t="n">
        <v>880</v>
      </c>
      <c r="G658" s="10" t="n">
        <f aca="false">IF(OR(E658="",E658=0),"n/a",IF(F658&lt;0,"n/a",ROUND(F658/E658,1)))</f>
        <v>18.3</v>
      </c>
      <c r="H658" s="10" t="str">
        <f aca="false">IF(F658&lt;0,"Negative (check entry)",IF(OR(E658="",E658=0),IF(F658=0,"No Activity","OK"),IF(F658/E658&lt;0.5,"Low Stock",IF(F658/E658&gt;3,"Overstock","OK"))))</f>
        <v>Overstock</v>
      </c>
      <c r="I658" s="16"/>
    </row>
    <row r="659" customFormat="false" ht="15" hidden="false" customHeight="false" outlineLevel="0" collapsed="false">
      <c r="A659" s="15" t="s">
        <v>36</v>
      </c>
      <c r="B659" s="15" t="s">
        <v>273</v>
      </c>
      <c r="C659" s="15" t="s">
        <v>73</v>
      </c>
      <c r="D659" s="15" t="n">
        <v>0</v>
      </c>
      <c r="E659" s="15" t="n">
        <v>0</v>
      </c>
      <c r="F659" s="15" t="n">
        <v>0</v>
      </c>
      <c r="G659" s="10" t="str">
        <f aca="false">IF(OR(E659="",E659=0),"n/a",IF(F659&lt;0,"n/a",ROUND(F659/E659,1)))</f>
        <v>n/a</v>
      </c>
      <c r="H659" s="10" t="str">
        <f aca="false">IF(F659&lt;0,"Negative (check entry)",IF(OR(E659="",E659=0),IF(F659=0,"No Activity","OK"),IF(F659/E659&lt;0.5,"Low Stock",IF(F659/E659&gt;3,"Overstock","OK"))))</f>
        <v>No Activity</v>
      </c>
      <c r="I659" s="16"/>
    </row>
    <row r="660" customFormat="false" ht="15" hidden="false" customHeight="false" outlineLevel="0" collapsed="false">
      <c r="A660" s="15" t="s">
        <v>36</v>
      </c>
      <c r="B660" s="15" t="s">
        <v>37</v>
      </c>
      <c r="C660" s="15" t="s">
        <v>42</v>
      </c>
      <c r="D660" s="15" t="n">
        <v>0</v>
      </c>
      <c r="E660" s="15" t="n">
        <v>580</v>
      </c>
      <c r="F660" s="15" t="n">
        <v>-580</v>
      </c>
      <c r="G660" s="10" t="str">
        <f aca="false">IF(OR(E660="",E660=0),"n/a",IF(F660&lt;0,"n/a",ROUND(F660/E660,1)))</f>
        <v>n/a</v>
      </c>
      <c r="H660" s="10" t="str">
        <f aca="false">IF(F660&lt;0,"Negative (check entry)",IF(OR(E660="",E660=0),IF(F660=0,"No Activity","OK"),IF(F660/E660&lt;0.5,"Low Stock",IF(F660/E660&gt;3,"Overstock","OK"))))</f>
        <v>Negative (check entry)</v>
      </c>
      <c r="I660" s="16"/>
    </row>
    <row r="661" customFormat="false" ht="15" hidden="false" customHeight="false" outlineLevel="0" collapsed="false">
      <c r="A661" s="15" t="s">
        <v>36</v>
      </c>
      <c r="B661" s="15" t="s">
        <v>37</v>
      </c>
      <c r="C661" s="15" t="s">
        <v>185</v>
      </c>
      <c r="D661" s="15" t="n">
        <v>0</v>
      </c>
      <c r="E661" s="15" t="n">
        <v>0</v>
      </c>
      <c r="F661" s="15" t="n">
        <v>0</v>
      </c>
      <c r="G661" s="10" t="str">
        <f aca="false">IF(OR(E661="",E661=0),"n/a",IF(F661&lt;0,"n/a",ROUND(F661/E661,1)))</f>
        <v>n/a</v>
      </c>
      <c r="H661" s="10" t="str">
        <f aca="false">IF(F661&lt;0,"Negative (check entry)",IF(OR(E661="",E661=0),IF(F661=0,"No Activity","OK"),IF(F661/E661&lt;0.5,"Low Stock",IF(F661/E661&gt;3,"Overstock","OK"))))</f>
        <v>No Activity</v>
      </c>
      <c r="I661" s="16"/>
    </row>
    <row r="662" customFormat="false" ht="15" hidden="false" customHeight="false" outlineLevel="0" collapsed="false">
      <c r="A662" s="15" t="s">
        <v>36</v>
      </c>
      <c r="B662" s="15" t="s">
        <v>37</v>
      </c>
      <c r="C662" s="15" t="s">
        <v>43</v>
      </c>
      <c r="D662" s="15" t="n">
        <v>0</v>
      </c>
      <c r="E662" s="15" t="n">
        <v>520</v>
      </c>
      <c r="F662" s="15" t="n">
        <v>-520</v>
      </c>
      <c r="G662" s="10" t="str">
        <f aca="false">IF(OR(E662="",E662=0),"n/a",IF(F662&lt;0,"n/a",ROUND(F662/E662,1)))</f>
        <v>n/a</v>
      </c>
      <c r="H662" s="10" t="str">
        <f aca="false">IF(F662&lt;0,"Negative (check entry)",IF(OR(E662="",E662=0),IF(F662=0,"No Activity","OK"),IF(F662/E662&lt;0.5,"Low Stock",IF(F662/E662&gt;3,"Overstock","OK"))))</f>
        <v>Negative (check entry)</v>
      </c>
      <c r="I662" s="16"/>
    </row>
    <row r="663" customFormat="false" ht="15" hidden="false" customHeight="false" outlineLevel="0" collapsed="false">
      <c r="A663" s="15" t="s">
        <v>36</v>
      </c>
      <c r="B663" s="15" t="s">
        <v>37</v>
      </c>
      <c r="C663" s="15" t="s">
        <v>60</v>
      </c>
      <c r="D663" s="15" t="n">
        <v>0</v>
      </c>
      <c r="E663" s="15" t="n">
        <v>60</v>
      </c>
      <c r="F663" s="15" t="n">
        <v>-60</v>
      </c>
      <c r="G663" s="10" t="str">
        <f aca="false">IF(OR(E663="",E663=0),"n/a",IF(F663&lt;0,"n/a",ROUND(F663/E663,1)))</f>
        <v>n/a</v>
      </c>
      <c r="H663" s="10" t="str">
        <f aca="false">IF(F663&lt;0,"Negative (check entry)",IF(OR(E663="",E663=0),IF(F663=0,"No Activity","OK"),IF(F663/E663&lt;0.5,"Low Stock",IF(F663/E663&gt;3,"Overstock","OK"))))</f>
        <v>Negative (check entry)</v>
      </c>
      <c r="I663" s="16"/>
    </row>
    <row r="664" customFormat="false" ht="15" hidden="false" customHeight="false" outlineLevel="0" collapsed="false">
      <c r="A664" s="15" t="s">
        <v>36</v>
      </c>
      <c r="B664" s="15" t="s">
        <v>37</v>
      </c>
      <c r="C664" s="15" t="s">
        <v>120</v>
      </c>
      <c r="D664" s="15" t="n">
        <v>0</v>
      </c>
      <c r="E664" s="15" t="n">
        <v>0</v>
      </c>
      <c r="F664" s="15" t="n">
        <v>0</v>
      </c>
      <c r="G664" s="10" t="str">
        <f aca="false">IF(OR(E664="",E664=0),"n/a",IF(F664&lt;0,"n/a",ROUND(F664/E664,1)))</f>
        <v>n/a</v>
      </c>
      <c r="H664" s="10" t="str">
        <f aca="false">IF(F664&lt;0,"Negative (check entry)",IF(OR(E664="",E664=0),IF(F664=0,"No Activity","OK"),IF(F664/E664&lt;0.5,"Low Stock",IF(F664/E664&gt;3,"Overstock","OK"))))</f>
        <v>No Activity</v>
      </c>
      <c r="I664" s="16"/>
    </row>
    <row r="665" customFormat="false" ht="15" hidden="false" customHeight="false" outlineLevel="0" collapsed="false">
      <c r="A665" s="15" t="s">
        <v>36</v>
      </c>
      <c r="B665" s="15" t="s">
        <v>37</v>
      </c>
      <c r="C665" s="15" t="s">
        <v>38</v>
      </c>
      <c r="D665" s="15" t="n">
        <v>0</v>
      </c>
      <c r="E665" s="15" t="n">
        <v>1600</v>
      </c>
      <c r="F665" s="15" t="n">
        <v>-1600</v>
      </c>
      <c r="G665" s="10" t="str">
        <f aca="false">IF(OR(E665="",E665=0),"n/a",IF(F665&lt;0,"n/a",ROUND(F665/E665,1)))</f>
        <v>n/a</v>
      </c>
      <c r="H665" s="10" t="str">
        <f aca="false">IF(F665&lt;0,"Negative (check entry)",IF(OR(E665="",E665=0),IF(F665=0,"No Activity","OK"),IF(F665/E665&lt;0.5,"Low Stock",IF(F665/E665&gt;3,"Overstock","OK"))))</f>
        <v>Negative (check entry)</v>
      </c>
      <c r="I665" s="16"/>
    </row>
    <row r="666" customFormat="false" ht="15" hidden="false" customHeight="false" outlineLevel="0" collapsed="false">
      <c r="A666" s="15" t="s">
        <v>36</v>
      </c>
      <c r="B666" s="15" t="s">
        <v>37</v>
      </c>
      <c r="C666" s="15" t="s">
        <v>101</v>
      </c>
      <c r="D666" s="15" t="n">
        <v>2512</v>
      </c>
      <c r="E666" s="15" t="n">
        <v>4728</v>
      </c>
      <c r="F666" s="15" t="n">
        <v>744</v>
      </c>
      <c r="G666" s="10" t="n">
        <f aca="false">IF(OR(E666="",E666=0),"n/a",IF(F666&lt;0,"n/a",ROUND(F666/E666,1)))</f>
        <v>0.2</v>
      </c>
      <c r="H666" s="10" t="str">
        <f aca="false">IF(F666&lt;0,"Negative (check entry)",IF(OR(E666="",E666=0),IF(F666=0,"No Activity","OK"),IF(F666/E666&lt;0.5,"Low Stock",IF(F666/E666&gt;3,"Overstock","OK"))))</f>
        <v>Low Stock</v>
      </c>
      <c r="I666" s="16"/>
    </row>
    <row r="667" customFormat="false" ht="15" hidden="false" customHeight="false" outlineLevel="0" collapsed="false">
      <c r="A667" s="15" t="s">
        <v>36</v>
      </c>
      <c r="B667" s="15" t="s">
        <v>37</v>
      </c>
      <c r="C667" s="15" t="s">
        <v>47</v>
      </c>
      <c r="D667" s="15" t="n">
        <v>0</v>
      </c>
      <c r="E667" s="15" t="n">
        <v>0</v>
      </c>
      <c r="F667" s="15" t="n">
        <v>14</v>
      </c>
      <c r="G667" s="10" t="str">
        <f aca="false">IF(OR(E667="",E667=0),"n/a",IF(F667&lt;0,"n/a",ROUND(F667/E667,1)))</f>
        <v>n/a</v>
      </c>
      <c r="H667" s="10" t="str">
        <f aca="false">IF(F667&lt;0,"Negative (check entry)",IF(OR(E667="",E667=0),IF(F667=0,"No Activity","OK"),IF(F667/E667&lt;0.5,"Low Stock",IF(F667/E667&gt;3,"Overstock","OK"))))</f>
        <v>OK</v>
      </c>
      <c r="I667" s="16"/>
    </row>
    <row r="668" customFormat="false" ht="15" hidden="false" customHeight="false" outlineLevel="0" collapsed="false">
      <c r="A668" s="15" t="s">
        <v>36</v>
      </c>
      <c r="B668" s="15" t="s">
        <v>37</v>
      </c>
      <c r="C668" s="15" t="s">
        <v>102</v>
      </c>
      <c r="D668" s="15" t="n">
        <v>2512</v>
      </c>
      <c r="E668" s="15" t="n">
        <v>4728</v>
      </c>
      <c r="F668" s="15" t="n">
        <v>758</v>
      </c>
      <c r="G668" s="10" t="n">
        <f aca="false">IF(OR(E668="",E668=0),"n/a",IF(F668&lt;0,"n/a",ROUND(F668/E668,1)))</f>
        <v>0.2</v>
      </c>
      <c r="H668" s="10" t="str">
        <f aca="false">IF(F668&lt;0,"Negative (check entry)",IF(OR(E668="",E668=0),IF(F668=0,"No Activity","OK"),IF(F668/E668&lt;0.5,"Low Stock",IF(F668/E668&gt;3,"Overstock","OK"))))</f>
        <v>Low Stock</v>
      </c>
      <c r="I668" s="16"/>
    </row>
    <row r="669" customFormat="false" ht="15" hidden="false" customHeight="false" outlineLevel="0" collapsed="false">
      <c r="A669" s="15" t="s">
        <v>36</v>
      </c>
      <c r="B669" s="15" t="s">
        <v>37</v>
      </c>
      <c r="C669" s="15" t="s">
        <v>172</v>
      </c>
      <c r="D669" s="15" t="n">
        <v>0</v>
      </c>
      <c r="E669" s="15" t="n">
        <v>0</v>
      </c>
      <c r="F669" s="15" t="n">
        <v>38</v>
      </c>
      <c r="G669" s="10" t="str">
        <f aca="false">IF(OR(E669="",E669=0),"n/a",IF(F669&lt;0,"n/a",ROUND(F669/E669,1)))</f>
        <v>n/a</v>
      </c>
      <c r="H669" s="10" t="str">
        <f aca="false">IF(F669&lt;0,"Negative (check entry)",IF(OR(E669="",E669=0),IF(F669=0,"No Activity","OK"),IF(F669/E669&lt;0.5,"Low Stock",IF(F669/E669&gt;3,"Overstock","OK"))))</f>
        <v>OK</v>
      </c>
      <c r="I669" s="16"/>
    </row>
    <row r="670" customFormat="false" ht="15" hidden="false" customHeight="false" outlineLevel="0" collapsed="false">
      <c r="A670" s="15" t="s">
        <v>36</v>
      </c>
      <c r="B670" s="15" t="s">
        <v>37</v>
      </c>
      <c r="C670" s="15" t="s">
        <v>104</v>
      </c>
      <c r="D670" s="15" t="n">
        <v>2512</v>
      </c>
      <c r="E670" s="15" t="n">
        <v>4728</v>
      </c>
      <c r="F670" s="15" t="n">
        <v>796</v>
      </c>
      <c r="G670" s="10" t="n">
        <f aca="false">IF(OR(E670="",E670=0),"n/a",IF(F670&lt;0,"n/a",ROUND(F670/E670,1)))</f>
        <v>0.2</v>
      </c>
      <c r="H670" s="10" t="str">
        <f aca="false">IF(F670&lt;0,"Negative (check entry)",IF(OR(E670="",E670=0),IF(F670=0,"No Activity","OK"),IF(F670/E670&lt;0.5,"Low Stock",IF(F670/E670&gt;3,"Overstock","OK"))))</f>
        <v>Low Stock</v>
      </c>
      <c r="I670" s="16"/>
    </row>
    <row r="671" customFormat="false" ht="15" hidden="false" customHeight="false" outlineLevel="0" collapsed="false">
      <c r="A671" s="15" t="s">
        <v>275</v>
      </c>
      <c r="B671" s="15"/>
      <c r="C671" s="15" t="s">
        <v>73</v>
      </c>
      <c r="D671" s="15" t="n">
        <v>0</v>
      </c>
      <c r="E671" s="15" t="n">
        <v>0</v>
      </c>
      <c r="F671" s="15" t="n">
        <v>0</v>
      </c>
      <c r="G671" s="10" t="str">
        <f aca="false">IF(OR(E671="",E671=0),"n/a",IF(F671&lt;0,"n/a",ROUND(F671/E671,1)))</f>
        <v>n/a</v>
      </c>
      <c r="H671" s="10" t="str">
        <f aca="false">IF(F671&lt;0,"Negative (check entry)",IF(OR(E671="",E671=0),IF(F671=0,"No Activity","OK"),IF(F671/E671&lt;0.5,"Low Stock",IF(F671/E671&gt;3,"Overstock","OK"))))</f>
        <v>No Activity</v>
      </c>
      <c r="I671" s="16"/>
    </row>
    <row r="672" customFormat="false" ht="15" hidden="false" customHeight="false" outlineLevel="0" collapsed="false">
      <c r="A672" s="15" t="s">
        <v>275</v>
      </c>
      <c r="B672" s="15"/>
      <c r="C672" s="15" t="s">
        <v>86</v>
      </c>
      <c r="D672" s="15" t="n">
        <v>0</v>
      </c>
      <c r="E672" s="15" t="n">
        <v>0</v>
      </c>
      <c r="F672" s="15" t="n">
        <v>0</v>
      </c>
      <c r="G672" s="10" t="str">
        <f aca="false">IF(OR(E672="",E672=0),"n/a",IF(F672&lt;0,"n/a",ROUND(F672/E672,1)))</f>
        <v>n/a</v>
      </c>
      <c r="H672" s="10" t="str">
        <f aca="false">IF(F672&lt;0,"Negative (check entry)",IF(OR(E672="",E672=0),IF(F672=0,"No Activity","OK"),IF(F672/E672&lt;0.5,"Low Stock",IF(F672/E672&gt;3,"Overstock","OK"))))</f>
        <v>No Activity</v>
      </c>
      <c r="I672" s="16"/>
    </row>
    <row r="673" customFormat="false" ht="15" hidden="false" customHeight="false" outlineLevel="0" collapsed="false">
      <c r="A673" s="15" t="s">
        <v>275</v>
      </c>
      <c r="B673" s="15"/>
      <c r="C673" s="15" t="s">
        <v>276</v>
      </c>
      <c r="D673" s="15" t="n">
        <v>0</v>
      </c>
      <c r="E673" s="15" t="n">
        <v>0</v>
      </c>
      <c r="F673" s="15" t="n">
        <v>0</v>
      </c>
      <c r="G673" s="10" t="str">
        <f aca="false">IF(OR(E673="",E673=0),"n/a",IF(F673&lt;0,"n/a",ROUND(F673/E673,1)))</f>
        <v>n/a</v>
      </c>
      <c r="H673" s="10" t="str">
        <f aca="false">IF(F673&lt;0,"Negative (check entry)",IF(OR(E673="",E673=0),IF(F673=0,"No Activity","OK"),IF(F673/E673&lt;0.5,"Low Stock",IF(F673/E673&gt;3,"Overstock","OK"))))</f>
        <v>No Activity</v>
      </c>
      <c r="I673" s="16"/>
    </row>
    <row r="674" customFormat="false" ht="15" hidden="false" customHeight="false" outlineLevel="0" collapsed="false">
      <c r="A674" s="15" t="s">
        <v>275</v>
      </c>
      <c r="B674" s="15"/>
      <c r="C674" s="15" t="s">
        <v>43</v>
      </c>
      <c r="D674" s="15" t="n">
        <v>0</v>
      </c>
      <c r="E674" s="15" t="n">
        <v>0</v>
      </c>
      <c r="F674" s="15" t="n">
        <v>0</v>
      </c>
      <c r="G674" s="10" t="str">
        <f aca="false">IF(OR(E674="",E674=0),"n/a",IF(F674&lt;0,"n/a",ROUND(F674/E674,1)))</f>
        <v>n/a</v>
      </c>
      <c r="H674" s="10" t="str">
        <f aca="false">IF(F674&lt;0,"Negative (check entry)",IF(OR(E674="",E674=0),IF(F674=0,"No Activity","OK"),IF(F674/E674&lt;0.5,"Low Stock",IF(F674/E674&gt;3,"Overstock","OK"))))</f>
        <v>No Activity</v>
      </c>
      <c r="I674" s="16"/>
    </row>
    <row r="675" customFormat="false" ht="15" hidden="false" customHeight="false" outlineLevel="0" collapsed="false">
      <c r="A675" s="15" t="s">
        <v>275</v>
      </c>
      <c r="B675" s="15"/>
      <c r="C675" s="15" t="s">
        <v>277</v>
      </c>
      <c r="D675" s="15" t="n">
        <v>0</v>
      </c>
      <c r="E675" s="15" t="n">
        <v>0</v>
      </c>
      <c r="F675" s="15" t="n">
        <v>0</v>
      </c>
      <c r="G675" s="10" t="str">
        <f aca="false">IF(OR(E675="",E675=0),"n/a",IF(F675&lt;0,"n/a",ROUND(F675/E675,1)))</f>
        <v>n/a</v>
      </c>
      <c r="H675" s="10" t="str">
        <f aca="false">IF(F675&lt;0,"Negative (check entry)",IF(OR(E675="",E675=0),IF(F675=0,"No Activity","OK"),IF(F675/E675&lt;0.5,"Low Stock",IF(F675/E675&gt;3,"Overstock","OK"))))</f>
        <v>No Activity</v>
      </c>
      <c r="I675" s="16"/>
    </row>
    <row r="676" customFormat="false" ht="15" hidden="false" customHeight="false" outlineLevel="0" collapsed="false">
      <c r="A676" s="15" t="s">
        <v>275</v>
      </c>
      <c r="B676" s="15"/>
      <c r="C676" s="15" t="s">
        <v>38</v>
      </c>
      <c r="D676" s="15" t="n">
        <v>0</v>
      </c>
      <c r="E676" s="15" t="n">
        <v>0</v>
      </c>
      <c r="F676" s="15" t="n">
        <v>0</v>
      </c>
      <c r="G676" s="10" t="str">
        <f aca="false">IF(OR(E676="",E676=0),"n/a",IF(F676&lt;0,"n/a",ROUND(F676/E676,1)))</f>
        <v>n/a</v>
      </c>
      <c r="H676" s="10" t="str">
        <f aca="false">IF(F676&lt;0,"Negative (check entry)",IF(OR(E676="",E676=0),IF(F676=0,"No Activity","OK"),IF(F676/E676&lt;0.5,"Low Stock",IF(F676/E676&gt;3,"Overstock","OK"))))</f>
        <v>No Activity</v>
      </c>
      <c r="I676" s="16"/>
    </row>
    <row r="677" customFormat="false" ht="15" hidden="false" customHeight="false" outlineLevel="0" collapsed="false">
      <c r="A677" s="15" t="s">
        <v>275</v>
      </c>
      <c r="B677" s="15"/>
      <c r="C677" s="15" t="s">
        <v>47</v>
      </c>
      <c r="D677" s="15" t="n">
        <v>0</v>
      </c>
      <c r="E677" s="15" t="n">
        <v>0</v>
      </c>
      <c r="F677" s="15" t="n">
        <v>0</v>
      </c>
      <c r="G677" s="10" t="str">
        <f aca="false">IF(OR(E677="",E677=0),"n/a",IF(F677&lt;0,"n/a",ROUND(F677/E677,1)))</f>
        <v>n/a</v>
      </c>
      <c r="H677" s="10" t="str">
        <f aca="false">IF(F677&lt;0,"Negative (check entry)",IF(OR(E677="",E677=0),IF(F677=0,"No Activity","OK"),IF(F677/E677&lt;0.5,"Low Stock",IF(F677/E677&gt;3,"Overstock","OK"))))</f>
        <v>No Activity</v>
      </c>
      <c r="I677" s="16"/>
    </row>
    <row r="678" customFormat="false" ht="15" hidden="false" customHeight="false" outlineLevel="0" collapsed="false">
      <c r="A678" s="15" t="s">
        <v>275</v>
      </c>
      <c r="B678" s="15" t="s">
        <v>278</v>
      </c>
      <c r="C678" s="15" t="s">
        <v>79</v>
      </c>
      <c r="D678" s="15" t="n">
        <v>0</v>
      </c>
      <c r="E678" s="15" t="n">
        <v>0</v>
      </c>
      <c r="F678" s="15" t="n">
        <v>0</v>
      </c>
      <c r="G678" s="10" t="str">
        <f aca="false">IF(OR(E678="",E678=0),"n/a",IF(F678&lt;0,"n/a",ROUND(F678/E678,1)))</f>
        <v>n/a</v>
      </c>
      <c r="H678" s="10" t="str">
        <f aca="false">IF(F678&lt;0,"Negative (check entry)",IF(OR(E678="",E678=0),IF(F678=0,"No Activity","OK"),IF(F678/E678&lt;0.5,"Low Stock",IF(F678/E678&gt;3,"Overstock","OK"))))</f>
        <v>No Activity</v>
      </c>
      <c r="I678" s="16"/>
    </row>
    <row r="679" customFormat="false" ht="15" hidden="false" customHeight="false" outlineLevel="0" collapsed="false">
      <c r="A679" s="15" t="s">
        <v>275</v>
      </c>
      <c r="B679" s="15" t="s">
        <v>278</v>
      </c>
      <c r="C679" s="15" t="s">
        <v>122</v>
      </c>
      <c r="D679" s="15" t="n">
        <v>0</v>
      </c>
      <c r="E679" s="15" t="n">
        <v>0</v>
      </c>
      <c r="F679" s="15" t="n">
        <v>0</v>
      </c>
      <c r="G679" s="10" t="str">
        <f aca="false">IF(OR(E679="",E679=0),"n/a",IF(F679&lt;0,"n/a",ROUND(F679/E679,1)))</f>
        <v>n/a</v>
      </c>
      <c r="H679" s="10" t="str">
        <f aca="false">IF(F679&lt;0,"Negative (check entry)",IF(OR(E679="",E679=0),IF(F679=0,"No Activity","OK"),IF(F679/E679&lt;0.5,"Low Stock",IF(F679/E679&gt;3,"Overstock","OK"))))</f>
        <v>No Activity</v>
      </c>
      <c r="I679" s="16"/>
    </row>
    <row r="680" customFormat="false" ht="15" hidden="false" customHeight="false" outlineLevel="0" collapsed="false">
      <c r="A680" s="15" t="s">
        <v>275</v>
      </c>
      <c r="B680" s="15" t="s">
        <v>278</v>
      </c>
      <c r="C680" s="15" t="s">
        <v>210</v>
      </c>
      <c r="D680" s="15" t="n">
        <v>0</v>
      </c>
      <c r="E680" s="15" t="n">
        <v>0</v>
      </c>
      <c r="F680" s="15" t="n">
        <v>0</v>
      </c>
      <c r="G680" s="10" t="str">
        <f aca="false">IF(OR(E680="",E680=0),"n/a",IF(F680&lt;0,"n/a",ROUND(F680/E680,1)))</f>
        <v>n/a</v>
      </c>
      <c r="H680" s="10" t="str">
        <f aca="false">IF(F680&lt;0,"Negative (check entry)",IF(OR(E680="",E680=0),IF(F680=0,"No Activity","OK"),IF(F680/E680&lt;0.5,"Low Stock",IF(F680/E680&gt;3,"Overstock","OK"))))</f>
        <v>No Activity</v>
      </c>
      <c r="I680" s="16"/>
    </row>
    <row r="681" customFormat="false" ht="15" hidden="false" customHeight="false" outlineLevel="0" collapsed="false">
      <c r="A681" s="15" t="s">
        <v>275</v>
      </c>
      <c r="B681" s="15" t="s">
        <v>278</v>
      </c>
      <c r="C681" s="15" t="s">
        <v>42</v>
      </c>
      <c r="D681" s="15" t="n">
        <v>0</v>
      </c>
      <c r="E681" s="15" t="n">
        <v>0</v>
      </c>
      <c r="F681" s="15" t="n">
        <v>0</v>
      </c>
      <c r="G681" s="10" t="str">
        <f aca="false">IF(OR(E681="",E681=0),"n/a",IF(F681&lt;0,"n/a",ROUND(F681/E681,1)))</f>
        <v>n/a</v>
      </c>
      <c r="H681" s="10" t="str">
        <f aca="false">IF(F681&lt;0,"Negative (check entry)",IF(OR(E681="",E681=0),IF(F681=0,"No Activity","OK"),IF(F681/E681&lt;0.5,"Low Stock",IF(F681/E681&gt;3,"Overstock","OK"))))</f>
        <v>No Activity</v>
      </c>
      <c r="I681" s="16"/>
    </row>
    <row r="682" customFormat="false" ht="15" hidden="false" customHeight="false" outlineLevel="0" collapsed="false">
      <c r="A682" s="15" t="s">
        <v>275</v>
      </c>
      <c r="B682" s="15" t="s">
        <v>278</v>
      </c>
      <c r="C682" s="15" t="s">
        <v>119</v>
      </c>
      <c r="D682" s="15" t="n">
        <v>0</v>
      </c>
      <c r="E682" s="15" t="n">
        <v>0</v>
      </c>
      <c r="F682" s="15" t="n">
        <v>0</v>
      </c>
      <c r="G682" s="10" t="str">
        <f aca="false">IF(OR(E682="",E682=0),"n/a",IF(F682&lt;0,"n/a",ROUND(F682/E682,1)))</f>
        <v>n/a</v>
      </c>
      <c r="H682" s="10" t="str">
        <f aca="false">IF(F682&lt;0,"Negative (check entry)",IF(OR(E682="",E682=0),IF(F682=0,"No Activity","OK"),IF(F682/E682&lt;0.5,"Low Stock",IF(F682/E682&gt;3,"Overstock","OK"))))</f>
        <v>No Activity</v>
      </c>
      <c r="I682" s="16"/>
    </row>
    <row r="683" customFormat="false" ht="15" hidden="false" customHeight="false" outlineLevel="0" collapsed="false">
      <c r="A683" s="15" t="s">
        <v>275</v>
      </c>
      <c r="B683" s="15" t="s">
        <v>278</v>
      </c>
      <c r="C683" s="15" t="s">
        <v>38</v>
      </c>
      <c r="D683" s="15" t="n">
        <v>0</v>
      </c>
      <c r="E683" s="15" t="n">
        <v>0</v>
      </c>
      <c r="F683" s="15" t="n">
        <v>0</v>
      </c>
      <c r="G683" s="10" t="str">
        <f aca="false">IF(OR(E683="",E683=0),"n/a",IF(F683&lt;0,"n/a",ROUND(F683/E683,1)))</f>
        <v>n/a</v>
      </c>
      <c r="H683" s="10" t="str">
        <f aca="false">IF(F683&lt;0,"Negative (check entry)",IF(OR(E683="",E683=0),IF(F683=0,"No Activity","OK"),IF(F683/E683&lt;0.5,"Low Stock",IF(F683/E683&gt;3,"Overstock","OK"))))</f>
        <v>No Activity</v>
      </c>
      <c r="I683" s="16"/>
    </row>
    <row r="684" customFormat="false" ht="15" hidden="false" customHeight="false" outlineLevel="0" collapsed="false">
      <c r="A684" s="15" t="s">
        <v>275</v>
      </c>
      <c r="B684" s="15" t="s">
        <v>278</v>
      </c>
      <c r="C684" s="15" t="s">
        <v>80</v>
      </c>
      <c r="D684" s="15" t="n">
        <v>0</v>
      </c>
      <c r="E684" s="15" t="n">
        <v>0</v>
      </c>
      <c r="F684" s="15" t="n">
        <v>0</v>
      </c>
      <c r="G684" s="10" t="str">
        <f aca="false">IF(OR(E684="",E684=0),"n/a",IF(F684&lt;0,"n/a",ROUND(F684/E684,1)))</f>
        <v>n/a</v>
      </c>
      <c r="H684" s="10" t="str">
        <f aca="false">IF(F684&lt;0,"Negative (check entry)",IF(OR(E684="",E684=0),IF(F684=0,"No Activity","OK"),IF(F684/E684&lt;0.5,"Low Stock",IF(F684/E684&gt;3,"Overstock","OK"))))</f>
        <v>No Activity</v>
      </c>
      <c r="I684" s="16"/>
    </row>
    <row r="685" customFormat="false" ht="15" hidden="false" customHeight="false" outlineLevel="0" collapsed="false">
      <c r="A685" s="15" t="s">
        <v>275</v>
      </c>
      <c r="B685" s="15" t="s">
        <v>278</v>
      </c>
      <c r="C685" s="15" t="s">
        <v>248</v>
      </c>
      <c r="D685" s="15" t="n">
        <v>0</v>
      </c>
      <c r="E685" s="15" t="n">
        <v>0</v>
      </c>
      <c r="F685" s="15" t="n">
        <v>0</v>
      </c>
      <c r="G685" s="10" t="str">
        <f aca="false">IF(OR(E685="",E685=0),"n/a",IF(F685&lt;0,"n/a",ROUND(F685/E685,1)))</f>
        <v>n/a</v>
      </c>
      <c r="H685" s="10" t="str">
        <f aca="false">IF(F685&lt;0,"Negative (check entry)",IF(OR(E685="",E685=0),IF(F685=0,"No Activity","OK"),IF(F685/E685&lt;0.5,"Low Stock",IF(F685/E685&gt;3,"Overstock","OK"))))</f>
        <v>No Activity</v>
      </c>
      <c r="I685" s="16"/>
    </row>
    <row r="686" customFormat="false" ht="15" hidden="false" customHeight="false" outlineLevel="0" collapsed="false">
      <c r="A686" s="15" t="s">
        <v>275</v>
      </c>
      <c r="B686" s="15" t="s">
        <v>278</v>
      </c>
      <c r="C686" s="15" t="s">
        <v>79</v>
      </c>
      <c r="D686" s="15" t="n">
        <v>0</v>
      </c>
      <c r="E686" s="15" t="n">
        <v>0</v>
      </c>
      <c r="F686" s="15" t="n">
        <v>0</v>
      </c>
      <c r="G686" s="10" t="str">
        <f aca="false">IF(OR(E686="",E686=0),"n/a",IF(F686&lt;0,"n/a",ROUND(F686/E686,1)))</f>
        <v>n/a</v>
      </c>
      <c r="H686" s="10" t="str">
        <f aca="false">IF(F686&lt;0,"Negative (check entry)",IF(OR(E686="",E686=0),IF(F686=0,"No Activity","OK"),IF(F686/E686&lt;0.5,"Low Stock",IF(F686/E686&gt;3,"Overstock","OK"))))</f>
        <v>No Activity</v>
      </c>
      <c r="I686" s="16"/>
    </row>
    <row r="687" customFormat="false" ht="15" hidden="false" customHeight="false" outlineLevel="0" collapsed="false">
      <c r="A687" s="15" t="s">
        <v>275</v>
      </c>
      <c r="B687" s="15" t="s">
        <v>278</v>
      </c>
      <c r="C687" s="15" t="s">
        <v>122</v>
      </c>
      <c r="D687" s="15" t="n">
        <v>0</v>
      </c>
      <c r="E687" s="15" t="n">
        <v>0</v>
      </c>
      <c r="F687" s="15" t="n">
        <v>0</v>
      </c>
      <c r="G687" s="10" t="str">
        <f aca="false">IF(OR(E687="",E687=0),"n/a",IF(F687&lt;0,"n/a",ROUND(F687/E687,1)))</f>
        <v>n/a</v>
      </c>
      <c r="H687" s="10" t="str">
        <f aca="false">IF(F687&lt;0,"Negative (check entry)",IF(OR(E687="",E687=0),IF(F687=0,"No Activity","OK"),IF(F687/E687&lt;0.5,"Low Stock",IF(F687/E687&gt;3,"Overstock","OK"))))</f>
        <v>No Activity</v>
      </c>
      <c r="I687" s="16"/>
    </row>
    <row r="688" customFormat="false" ht="15" hidden="false" customHeight="false" outlineLevel="0" collapsed="false">
      <c r="A688" s="15" t="s">
        <v>275</v>
      </c>
      <c r="B688" s="15" t="s">
        <v>278</v>
      </c>
      <c r="C688" s="15" t="s">
        <v>210</v>
      </c>
      <c r="D688" s="15" t="n">
        <v>0</v>
      </c>
      <c r="E688" s="15" t="n">
        <v>0</v>
      </c>
      <c r="F688" s="15" t="n">
        <v>0</v>
      </c>
      <c r="G688" s="10" t="str">
        <f aca="false">IF(OR(E688="",E688=0),"n/a",IF(F688&lt;0,"n/a",ROUND(F688/E688,1)))</f>
        <v>n/a</v>
      </c>
      <c r="H688" s="10" t="str">
        <f aca="false">IF(F688&lt;0,"Negative (check entry)",IF(OR(E688="",E688=0),IF(F688=0,"No Activity","OK"),IF(F688/E688&lt;0.5,"Low Stock",IF(F688/E688&gt;3,"Overstock","OK"))))</f>
        <v>No Activity</v>
      </c>
      <c r="I688" s="16"/>
    </row>
    <row r="689" customFormat="false" ht="15" hidden="false" customHeight="false" outlineLevel="0" collapsed="false">
      <c r="A689" s="15" t="s">
        <v>275</v>
      </c>
      <c r="B689" s="15" t="s">
        <v>278</v>
      </c>
      <c r="C689" s="15" t="s">
        <v>42</v>
      </c>
      <c r="D689" s="15" t="n">
        <v>0</v>
      </c>
      <c r="E689" s="15" t="n">
        <v>0</v>
      </c>
      <c r="F689" s="15" t="n">
        <v>0</v>
      </c>
      <c r="G689" s="10" t="str">
        <f aca="false">IF(OR(E689="",E689=0),"n/a",IF(F689&lt;0,"n/a",ROUND(F689/E689,1)))</f>
        <v>n/a</v>
      </c>
      <c r="H689" s="10" t="str">
        <f aca="false">IF(F689&lt;0,"Negative (check entry)",IF(OR(E689="",E689=0),IF(F689=0,"No Activity","OK"),IF(F689/E689&lt;0.5,"Low Stock",IF(F689/E689&gt;3,"Overstock","OK"))))</f>
        <v>No Activity</v>
      </c>
      <c r="I689" s="16"/>
    </row>
    <row r="690" customFormat="false" ht="15" hidden="false" customHeight="false" outlineLevel="0" collapsed="false">
      <c r="A690" s="15" t="s">
        <v>275</v>
      </c>
      <c r="B690" s="15" t="s">
        <v>278</v>
      </c>
      <c r="C690" s="15" t="s">
        <v>119</v>
      </c>
      <c r="D690" s="15" t="n">
        <v>0</v>
      </c>
      <c r="E690" s="15" t="n">
        <v>0</v>
      </c>
      <c r="F690" s="15" t="n">
        <v>0</v>
      </c>
      <c r="G690" s="10" t="str">
        <f aca="false">IF(OR(E690="",E690=0),"n/a",IF(F690&lt;0,"n/a",ROUND(F690/E690,1)))</f>
        <v>n/a</v>
      </c>
      <c r="H690" s="10" t="str">
        <f aca="false">IF(F690&lt;0,"Negative (check entry)",IF(OR(E690="",E690=0),IF(F690=0,"No Activity","OK"),IF(F690/E690&lt;0.5,"Low Stock",IF(F690/E690&gt;3,"Overstock","OK"))))</f>
        <v>No Activity</v>
      </c>
      <c r="I690" s="16"/>
    </row>
    <row r="691" customFormat="false" ht="15" hidden="false" customHeight="false" outlineLevel="0" collapsed="false">
      <c r="A691" s="15" t="s">
        <v>275</v>
      </c>
      <c r="B691" s="15" t="s">
        <v>278</v>
      </c>
      <c r="C691" s="15" t="s">
        <v>279</v>
      </c>
      <c r="D691" s="15" t="n">
        <v>0</v>
      </c>
      <c r="E691" s="15" t="n">
        <v>0</v>
      </c>
      <c r="F691" s="15" t="n">
        <v>0</v>
      </c>
      <c r="G691" s="10" t="str">
        <f aca="false">IF(OR(E691="",E691=0),"n/a",IF(F691&lt;0,"n/a",ROUND(F691/E691,1)))</f>
        <v>n/a</v>
      </c>
      <c r="H691" s="10" t="str">
        <f aca="false">IF(F691&lt;0,"Negative (check entry)",IF(OR(E691="",E691=0),IF(F691=0,"No Activity","OK"),IF(F691/E691&lt;0.5,"Low Stock",IF(F691/E691&gt;3,"Overstock","OK"))))</f>
        <v>No Activity</v>
      </c>
      <c r="I691" s="16"/>
    </row>
    <row r="692" customFormat="false" ht="15" hidden="false" customHeight="false" outlineLevel="0" collapsed="false">
      <c r="A692" s="15" t="s">
        <v>275</v>
      </c>
      <c r="B692" s="15" t="s">
        <v>278</v>
      </c>
      <c r="C692" s="15" t="s">
        <v>280</v>
      </c>
      <c r="D692" s="15" t="n">
        <v>0</v>
      </c>
      <c r="E692" s="15" t="n">
        <v>0</v>
      </c>
      <c r="F692" s="15" t="n">
        <v>0</v>
      </c>
      <c r="G692" s="10" t="str">
        <f aca="false">IF(OR(E692="",E692=0),"n/a",IF(F692&lt;0,"n/a",ROUND(F692/E692,1)))</f>
        <v>n/a</v>
      </c>
      <c r="H692" s="10" t="str">
        <f aca="false">IF(F692&lt;0,"Negative (check entry)",IF(OR(E692="",E692=0),IF(F692=0,"No Activity","OK"),IF(F692/E692&lt;0.5,"Low Stock",IF(F692/E692&gt;3,"Overstock","OK"))))</f>
        <v>No Activity</v>
      </c>
      <c r="I692" s="16"/>
    </row>
    <row r="693" customFormat="false" ht="15" hidden="false" customHeight="false" outlineLevel="0" collapsed="false">
      <c r="A693" s="15" t="s">
        <v>275</v>
      </c>
      <c r="B693" s="15" t="s">
        <v>278</v>
      </c>
      <c r="C693" s="15" t="s">
        <v>128</v>
      </c>
      <c r="D693" s="15" t="n">
        <v>0</v>
      </c>
      <c r="E693" s="15" t="n">
        <v>0</v>
      </c>
      <c r="F693" s="15" t="n">
        <v>0</v>
      </c>
      <c r="G693" s="10" t="str">
        <f aca="false">IF(OR(E693="",E693=0),"n/a",IF(F693&lt;0,"n/a",ROUND(F693/E693,1)))</f>
        <v>n/a</v>
      </c>
      <c r="H693" s="10" t="str">
        <f aca="false">IF(F693&lt;0,"Negative (check entry)",IF(OR(E693="",E693=0),IF(F693=0,"No Activity","OK"),IF(F693/E693&lt;0.5,"Low Stock",IF(F693/E693&gt;3,"Overstock","OK"))))</f>
        <v>No Activity</v>
      </c>
      <c r="I693" s="16"/>
    </row>
    <row r="694" customFormat="false" ht="15" hidden="false" customHeight="false" outlineLevel="0" collapsed="false">
      <c r="A694" s="15" t="s">
        <v>275</v>
      </c>
      <c r="B694" s="15" t="s">
        <v>278</v>
      </c>
      <c r="C694" s="15" t="s">
        <v>101</v>
      </c>
      <c r="D694" s="15" t="n">
        <v>0</v>
      </c>
      <c r="E694" s="15" t="n">
        <v>0</v>
      </c>
      <c r="F694" s="15" t="n">
        <v>0</v>
      </c>
      <c r="G694" s="10" t="str">
        <f aca="false">IF(OR(E694="",E694=0),"n/a",IF(F694&lt;0,"n/a",ROUND(F694/E694,1)))</f>
        <v>n/a</v>
      </c>
      <c r="H694" s="10" t="str">
        <f aca="false">IF(F694&lt;0,"Negative (check entry)",IF(OR(E694="",E694=0),IF(F694=0,"No Activity","OK"),IF(F694/E694&lt;0.5,"Low Stock",IF(F694/E694&gt;3,"Overstock","OK"))))</f>
        <v>No Activity</v>
      </c>
      <c r="I694" s="16"/>
    </row>
    <row r="695" customFormat="false" ht="15" hidden="false" customHeight="false" outlineLevel="0" collapsed="false">
      <c r="A695" s="15" t="s">
        <v>275</v>
      </c>
      <c r="B695" s="15" t="s">
        <v>278</v>
      </c>
      <c r="C695" s="15" t="s">
        <v>47</v>
      </c>
      <c r="D695" s="15" t="n">
        <v>0</v>
      </c>
      <c r="E695" s="15" t="n">
        <v>0</v>
      </c>
      <c r="F695" s="15" t="n">
        <v>0</v>
      </c>
      <c r="G695" s="10" t="str">
        <f aca="false">IF(OR(E695="",E695=0),"n/a",IF(F695&lt;0,"n/a",ROUND(F695/E695,1)))</f>
        <v>n/a</v>
      </c>
      <c r="H695" s="10" t="str">
        <f aca="false">IF(F695&lt;0,"Negative (check entry)",IF(OR(E695="",E695=0),IF(F695=0,"No Activity","OK"),IF(F695/E695&lt;0.5,"Low Stock",IF(F695/E695&gt;3,"Overstock","OK"))))</f>
        <v>No Activity</v>
      </c>
      <c r="I695" s="16"/>
    </row>
    <row r="696" customFormat="false" ht="15" hidden="false" customHeight="false" outlineLevel="0" collapsed="false">
      <c r="A696" s="15" t="s">
        <v>275</v>
      </c>
      <c r="B696" s="15" t="s">
        <v>278</v>
      </c>
      <c r="C696" s="15" t="s">
        <v>102</v>
      </c>
      <c r="D696" s="15" t="n">
        <v>0</v>
      </c>
      <c r="E696" s="15" t="n">
        <v>0</v>
      </c>
      <c r="F696" s="15" t="n">
        <v>0</v>
      </c>
      <c r="G696" s="10" t="str">
        <f aca="false">IF(OR(E696="",E696=0),"n/a",IF(F696&lt;0,"n/a",ROUND(F696/E696,1)))</f>
        <v>n/a</v>
      </c>
      <c r="H696" s="10" t="str">
        <f aca="false">IF(F696&lt;0,"Negative (check entry)",IF(OR(E696="",E696=0),IF(F696=0,"No Activity","OK"),IF(F696/E696&lt;0.5,"Low Stock",IF(F696/E696&gt;3,"Overstock","OK"))))</f>
        <v>No Activity</v>
      </c>
      <c r="I696" s="16"/>
    </row>
    <row r="697" customFormat="false" ht="15" hidden="false" customHeight="false" outlineLevel="0" collapsed="false">
      <c r="A697" s="15" t="s">
        <v>275</v>
      </c>
      <c r="B697" s="15" t="s">
        <v>278</v>
      </c>
      <c r="C697" s="15" t="s">
        <v>172</v>
      </c>
      <c r="D697" s="15" t="n">
        <v>0</v>
      </c>
      <c r="E697" s="15" t="n">
        <v>0</v>
      </c>
      <c r="F697" s="15" t="n">
        <v>0</v>
      </c>
      <c r="G697" s="10" t="str">
        <f aca="false">IF(OR(E697="",E697=0),"n/a",IF(F697&lt;0,"n/a",ROUND(F697/E697,1)))</f>
        <v>n/a</v>
      </c>
      <c r="H697" s="10" t="str">
        <f aca="false">IF(F697&lt;0,"Negative (check entry)",IF(OR(E697="",E697=0),IF(F697=0,"No Activity","OK"),IF(F697/E697&lt;0.5,"Low Stock",IF(F697/E697&gt;3,"Overstock","OK"))))</f>
        <v>No Activity</v>
      </c>
      <c r="I697" s="16"/>
    </row>
    <row r="698" customFormat="false" ht="15" hidden="false" customHeight="false" outlineLevel="0" collapsed="false">
      <c r="A698" s="15" t="s">
        <v>275</v>
      </c>
      <c r="B698" s="15" t="s">
        <v>278</v>
      </c>
      <c r="C698" s="15" t="s">
        <v>104</v>
      </c>
      <c r="D698" s="15" t="n">
        <v>0</v>
      </c>
      <c r="E698" s="15" t="n">
        <v>0</v>
      </c>
      <c r="F698" s="15" t="n">
        <v>0</v>
      </c>
      <c r="G698" s="10" t="str">
        <f aca="false">IF(OR(E698="",E698=0),"n/a",IF(F698&lt;0,"n/a",ROUND(F698/E698,1)))</f>
        <v>n/a</v>
      </c>
      <c r="H698" s="10" t="str">
        <f aca="false">IF(F698&lt;0,"Negative (check entry)",IF(OR(E698="",E698=0),IF(F698=0,"No Activity","OK"),IF(F698/E698&lt;0.5,"Low Stock",IF(F698/E698&gt;3,"Overstock","OK"))))</f>
        <v>No Activity</v>
      </c>
      <c r="I698" s="16"/>
    </row>
  </sheetData>
  <autoFilter ref="A2:I698"/>
  <mergeCells count="1">
    <mergeCell ref="A1:I1"/>
  </mergeCells>
  <conditionalFormatting sqref="H3:H698">
    <cfRule type="expression" priority="2" aboveAverage="0" equalAverage="0" bottom="0" percent="0" rank="0" text="" dxfId="8">
      <formula>H3="Negative (check entry)"</formula>
    </cfRule>
    <cfRule type="expression" priority="3" aboveAverage="0" equalAverage="0" bottom="0" percent="0" rank="0" text="" dxfId="8">
      <formula>H3="Low Stock"</formula>
    </cfRule>
    <cfRule type="expression" priority="4" aboveAverage="0" equalAverage="0" bottom="0" percent="0" rank="0" text="" dxfId="9">
      <formula>H3="Overstock"</formula>
    </cfRule>
    <cfRule type="expression" priority="5" aboveAverage="0" equalAverage="0" bottom="0" percent="0" rank="0" text="" dxfId="9">
      <formula>H3="No Activity"</formula>
    </cfRule>
    <cfRule type="expression" priority="6" aboveAverage="0" equalAverage="0" bottom="0" percent="0" rank="0" text="" dxfId="10">
      <formula>H3="OK"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4" t="s">
        <v>281</v>
      </c>
      <c r="B1" s="14"/>
      <c r="C1" s="14"/>
      <c r="D1" s="14"/>
      <c r="E1" s="14"/>
      <c r="F1" s="14"/>
    </row>
    <row r="2" customFormat="false" ht="23.85" hidden="false" customHeight="false" outlineLevel="0" collapsed="false">
      <c r="A2" s="9" t="s">
        <v>31</v>
      </c>
      <c r="B2" s="9" t="s">
        <v>282</v>
      </c>
      <c r="C2" s="9" t="s">
        <v>283</v>
      </c>
      <c r="D2" s="9" t="s">
        <v>284</v>
      </c>
      <c r="E2" s="9" t="s">
        <v>285</v>
      </c>
      <c r="F2" s="9" t="s">
        <v>286</v>
      </c>
    </row>
    <row r="3" customFormat="false" ht="15" hidden="false" customHeight="false" outlineLevel="0" collapsed="false">
      <c r="A3" s="10" t="s">
        <v>39</v>
      </c>
      <c r="B3" s="10" t="n">
        <f aca="false">SUMIF('Master SKU List'!A3:A698,A3,'Master SKU List'!D3:D698)</f>
        <v>79104</v>
      </c>
      <c r="C3" s="10" t="n">
        <f aca="false">SUMIF('Master SKU List'!A3:A698,A3,'Master SKU List'!E3:E698)</f>
        <v>125376</v>
      </c>
      <c r="D3" s="10" t="n">
        <f aca="false">SUMIF('Master SKU List'!A3:A698,A3,'Master SKU List'!F3:F698)</f>
        <v>38745</v>
      </c>
      <c r="E3" s="10" t="n">
        <f aca="false">COUNTIF('Master SKU List'!A3:A698,A3)</f>
        <v>77</v>
      </c>
      <c r="F3" s="10" t="n">
        <f aca="false">COUNTIFS('Master SKU List'!A3:A698,A3,'Master SKU List'!H3:H698,"Low Stock")+COUNTIFS('Master SKU List'!A3:A698,A3,'Master SKU List'!H3:H698,"Negative (check entry)")</f>
        <v>12</v>
      </c>
    </row>
    <row r="4" customFormat="false" ht="15" hidden="false" customHeight="false" outlineLevel="0" collapsed="false">
      <c r="A4" s="10" t="s">
        <v>151</v>
      </c>
      <c r="B4" s="10" t="n">
        <f aca="false">SUMIF('Master SKU List'!A3:A698,A4,'Master SKU List'!D3:D698)</f>
        <v>1984</v>
      </c>
      <c r="C4" s="10" t="n">
        <f aca="false">SUMIF('Master SKU List'!A3:A698,A4,'Master SKU List'!E3:E698)</f>
        <v>0</v>
      </c>
      <c r="D4" s="10" t="n">
        <f aca="false">SUMIF('Master SKU List'!A3:A698,A4,'Master SKU List'!F3:F698)</f>
        <v>8222</v>
      </c>
      <c r="E4" s="10" t="n">
        <f aca="false">COUNTIF('Master SKU List'!A3:A698,A4)</f>
        <v>20</v>
      </c>
      <c r="F4" s="10" t="n">
        <f aca="false">COUNTIFS('Master SKU List'!A3:A698,A4,'Master SKU List'!H3:H698,"Low Stock")+COUNTIFS('Master SKU List'!A3:A698,A4,'Master SKU List'!H3:H698,"Negative (check entry)")</f>
        <v>0</v>
      </c>
    </row>
    <row r="5" customFormat="false" ht="15" hidden="false" customHeight="false" outlineLevel="0" collapsed="false">
      <c r="A5" s="10" t="s">
        <v>109</v>
      </c>
      <c r="B5" s="10" t="n">
        <f aca="false">SUMIF('Master SKU List'!A3:A698,A5,'Master SKU List'!D3:D698)</f>
        <v>29056</v>
      </c>
      <c r="C5" s="10" t="n">
        <f aca="false">SUMIF('Master SKU List'!A3:A698,A5,'Master SKU List'!E3:E698)</f>
        <v>14656</v>
      </c>
      <c r="D5" s="10" t="n">
        <f aca="false">SUMIF('Master SKU List'!A3:A698,A5,'Master SKU List'!F3:F698)</f>
        <v>24373</v>
      </c>
      <c r="E5" s="10" t="n">
        <f aca="false">COUNTIF('Master SKU List'!A3:A698,A5)</f>
        <v>29</v>
      </c>
      <c r="F5" s="10" t="n">
        <f aca="false">COUNTIFS('Master SKU List'!A3:A698,A5,'Master SKU List'!H3:H698,"Low Stock")+COUNTIFS('Master SKU List'!A3:A698,A5,'Master SKU List'!H3:H698,"Negative (check entry)")</f>
        <v>1</v>
      </c>
    </row>
    <row r="6" customFormat="false" ht="15" hidden="false" customHeight="false" outlineLevel="0" collapsed="false">
      <c r="A6" s="10" t="s">
        <v>173</v>
      </c>
      <c r="B6" s="10" t="n">
        <f aca="false">SUMIF('Master SKU List'!A3:A698,A6,'Master SKU List'!D3:D698)</f>
        <v>0</v>
      </c>
      <c r="C6" s="10" t="n">
        <f aca="false">SUMIF('Master SKU List'!A3:A698,A6,'Master SKU List'!E3:E698)</f>
        <v>0</v>
      </c>
      <c r="D6" s="10" t="n">
        <f aca="false">SUMIF('Master SKU List'!A3:A698,A6,'Master SKU List'!F3:F698)</f>
        <v>0</v>
      </c>
      <c r="E6" s="10" t="n">
        <f aca="false">COUNTIF('Master SKU List'!A3:A698,A6)</f>
        <v>21</v>
      </c>
      <c r="F6" s="10" t="n">
        <f aca="false">COUNTIFS('Master SKU List'!A3:A698,A6,'Master SKU List'!H3:H698,"Low Stock")+COUNTIFS('Master SKU List'!A3:A698,A6,'Master SKU List'!H3:H698,"Negative (check entry)")</f>
        <v>0</v>
      </c>
    </row>
    <row r="7" customFormat="false" ht="15" hidden="false" customHeight="false" outlineLevel="0" collapsed="false">
      <c r="A7" s="10" t="s">
        <v>61</v>
      </c>
      <c r="B7" s="10" t="n">
        <f aca="false">SUMIF('Master SKU List'!A3:A698,A7,'Master SKU List'!D3:D698)</f>
        <v>13680</v>
      </c>
      <c r="C7" s="10" t="n">
        <f aca="false">SUMIF('Master SKU List'!A3:A698,A7,'Master SKU List'!E3:E698)</f>
        <v>16176</v>
      </c>
      <c r="D7" s="10" t="n">
        <f aca="false">SUMIF('Master SKU List'!A3:A698,A7,'Master SKU List'!F3:F698)</f>
        <v>3763</v>
      </c>
      <c r="E7" s="10" t="n">
        <f aca="false">COUNTIF('Master SKU List'!A3:A698,A7)</f>
        <v>21</v>
      </c>
      <c r="F7" s="10" t="n">
        <f aca="false">COUNTIFS('Master SKU List'!A3:A698,A7,'Master SKU List'!H3:H698,"Low Stock")+COUNTIFS('Master SKU List'!A3:A698,A7,'Master SKU List'!H3:H698,"Negative (check entry)")</f>
        <v>11</v>
      </c>
    </row>
    <row r="8" customFormat="false" ht="15" hidden="false" customHeight="false" outlineLevel="0" collapsed="false">
      <c r="A8" s="10" t="s">
        <v>180</v>
      </c>
      <c r="B8" s="10" t="n">
        <f aca="false">SUMIF('Master SKU List'!A3:A698,A8,'Master SKU List'!D3:D698)</f>
        <v>51680</v>
      </c>
      <c r="C8" s="10" t="n">
        <f aca="false">SUMIF('Master SKU List'!A3:A698,A8,'Master SKU List'!E3:E698)</f>
        <v>8240</v>
      </c>
      <c r="D8" s="10" t="n">
        <f aca="false">SUMIF('Master SKU List'!A3:A698,A8,'Master SKU List'!F3:F698)</f>
        <v>43440</v>
      </c>
      <c r="E8" s="10" t="n">
        <f aca="false">COUNTIF('Master SKU List'!A3:A698,A8)</f>
        <v>21</v>
      </c>
      <c r="F8" s="10" t="n">
        <f aca="false">COUNTIFS('Master SKU List'!A3:A698,A8,'Master SKU List'!H3:H698,"Low Stock")+COUNTIFS('Master SKU List'!A3:A698,A8,'Master SKU List'!H3:H698,"Negative (check entry)")</f>
        <v>0</v>
      </c>
    </row>
    <row r="9" customFormat="false" ht="15" hidden="false" customHeight="false" outlineLevel="0" collapsed="false">
      <c r="A9" s="10" t="s">
        <v>83</v>
      </c>
      <c r="B9" s="10" t="n">
        <f aca="false">SUMIF('Master SKU List'!A3:A698,A9,'Master SKU List'!D3:D698)</f>
        <v>44928</v>
      </c>
      <c r="C9" s="10" t="n">
        <f aca="false">SUMIF('Master SKU List'!A3:A698,A9,'Master SKU List'!E3:E698)</f>
        <v>49792</v>
      </c>
      <c r="D9" s="10" t="n">
        <f aca="false">SUMIF('Master SKU List'!A3:A698,A9,'Master SKU List'!F3:F698)</f>
        <v>40807</v>
      </c>
      <c r="E9" s="10" t="n">
        <f aca="false">COUNTIF('Master SKU List'!A3:A698,A9)</f>
        <v>26</v>
      </c>
      <c r="F9" s="10" t="n">
        <f aca="false">COUNTIFS('Master SKU List'!A3:A698,A9,'Master SKU List'!H3:H698,"Low Stock")+COUNTIFS('Master SKU List'!A3:A698,A9,'Master SKU List'!H3:H698,"Negative (check entry)")</f>
        <v>4</v>
      </c>
    </row>
    <row r="10" customFormat="false" ht="15" hidden="false" customHeight="false" outlineLevel="0" collapsed="false">
      <c r="A10" s="10" t="s">
        <v>48</v>
      </c>
      <c r="B10" s="10" t="n">
        <f aca="false">SUMIF('Master SKU List'!A3:A698,A10,'Master SKU List'!D3:D698)</f>
        <v>35760</v>
      </c>
      <c r="C10" s="10" t="n">
        <f aca="false">SUMIF('Master SKU List'!A3:A698,A10,'Master SKU List'!E3:E698)</f>
        <v>36783</v>
      </c>
      <c r="D10" s="10" t="n">
        <f aca="false">SUMIF('Master SKU List'!A3:A698,A10,'Master SKU List'!F3:F698)</f>
        <v>14644.9</v>
      </c>
      <c r="E10" s="10" t="n">
        <f aca="false">COUNTIF('Master SKU List'!A3:A698,A10)</f>
        <v>29</v>
      </c>
      <c r="F10" s="10" t="n">
        <f aca="false">COUNTIFS('Master SKU List'!A3:A698,A10,'Master SKU List'!H3:H698,"Low Stock")+COUNTIFS('Master SKU List'!A3:A698,A10,'Master SKU List'!H3:H698,"Negative (check entry)")</f>
        <v>7</v>
      </c>
    </row>
    <row r="11" customFormat="false" ht="15" hidden="false" customHeight="false" outlineLevel="0" collapsed="false">
      <c r="A11" s="10" t="s">
        <v>65</v>
      </c>
      <c r="B11" s="10" t="n">
        <f aca="false">SUMIF('Master SKU List'!A3:A698,A11,'Master SKU List'!D3:D698)</f>
        <v>12800</v>
      </c>
      <c r="C11" s="10" t="n">
        <f aca="false">SUMIF('Master SKU List'!A3:A698,A11,'Master SKU List'!E3:E698)</f>
        <v>4864</v>
      </c>
      <c r="D11" s="10" t="n">
        <f aca="false">SUMIF('Master SKU List'!A3:A698,A11,'Master SKU List'!F3:F698)</f>
        <v>7936</v>
      </c>
      <c r="E11" s="10" t="n">
        <f aca="false">COUNTIF('Master SKU List'!A3:A698,A11)</f>
        <v>22</v>
      </c>
      <c r="F11" s="10" t="n">
        <f aca="false">COUNTIFS('Master SKU List'!A3:A698,A11,'Master SKU List'!H3:H698,"Low Stock")+COUNTIFS('Master SKU List'!A3:A698,A11,'Master SKU List'!H3:H698,"Negative (check entry)")</f>
        <v>4</v>
      </c>
    </row>
    <row r="12" customFormat="false" ht="15" hidden="false" customHeight="false" outlineLevel="0" collapsed="false">
      <c r="A12" s="10" t="s">
        <v>44</v>
      </c>
      <c r="B12" s="10" t="n">
        <f aca="false">SUMIF('Master SKU List'!A3:A698,A12,'Master SKU List'!D3:D698)</f>
        <v>26560</v>
      </c>
      <c r="C12" s="10" t="n">
        <f aca="false">SUMIF('Master SKU List'!A3:A698,A12,'Master SKU List'!E3:E698)</f>
        <v>48800</v>
      </c>
      <c r="D12" s="10" t="n">
        <f aca="false">SUMIF('Master SKU List'!A3:A698,A12,'Master SKU List'!F3:F698)</f>
        <v>16584</v>
      </c>
      <c r="E12" s="10" t="n">
        <f aca="false">COUNTIF('Master SKU List'!A3:A698,A12)</f>
        <v>29</v>
      </c>
      <c r="F12" s="10" t="n">
        <f aca="false">COUNTIFS('Master SKU List'!A3:A698,A12,'Master SKU List'!H3:H698,"Low Stock")+COUNTIFS('Master SKU List'!A3:A698,A12,'Master SKU List'!H3:H698,"Negative (check entry)")</f>
        <v>6</v>
      </c>
    </row>
    <row r="13" customFormat="false" ht="15" hidden="false" customHeight="false" outlineLevel="0" collapsed="false">
      <c r="A13" s="10" t="s">
        <v>54</v>
      </c>
      <c r="B13" s="10" t="n">
        <f aca="false">SUMIF('Master SKU List'!A3:A698,A13,'Master SKU List'!D3:D698)</f>
        <v>9264</v>
      </c>
      <c r="C13" s="10" t="n">
        <f aca="false">SUMIF('Master SKU List'!A3:A698,A13,'Master SKU List'!E3:E698)</f>
        <v>16896</v>
      </c>
      <c r="D13" s="10" t="n">
        <f aca="false">SUMIF('Master SKU List'!A3:A698,A13,'Master SKU List'!F3:F698)</f>
        <v>10945</v>
      </c>
      <c r="E13" s="10" t="n">
        <f aca="false">COUNTIF('Master SKU List'!A3:A698,A13)</f>
        <v>20</v>
      </c>
      <c r="F13" s="10" t="n">
        <f aca="false">COUNTIFS('Master SKU List'!A3:A698,A13,'Master SKU List'!H3:H698,"Low Stock")+COUNTIFS('Master SKU List'!A3:A698,A13,'Master SKU List'!H3:H698,"Negative (check entry)")</f>
        <v>2</v>
      </c>
    </row>
    <row r="14" customFormat="false" ht="15" hidden="false" customHeight="false" outlineLevel="0" collapsed="false">
      <c r="A14" s="10" t="s">
        <v>213</v>
      </c>
      <c r="B14" s="10" t="n">
        <f aca="false">SUMIF('Master SKU List'!A3:A698,A14,'Master SKU List'!D3:D698)</f>
        <v>1472</v>
      </c>
      <c r="C14" s="10" t="n">
        <f aca="false">SUMIF('Master SKU List'!A3:A698,A14,'Master SKU List'!E3:E698)</f>
        <v>2880</v>
      </c>
      <c r="D14" s="10" t="n">
        <f aca="false">SUMIF('Master SKU List'!A3:A698,A14,'Master SKU List'!F3:F698)</f>
        <v>9710</v>
      </c>
      <c r="E14" s="10" t="n">
        <f aca="false">COUNTIF('Master SKU List'!A3:A698,A14)</f>
        <v>17</v>
      </c>
      <c r="F14" s="10" t="n">
        <f aca="false">COUNTIFS('Master SKU List'!A3:A698,A14,'Master SKU List'!H3:H698,"Low Stock")+COUNTIFS('Master SKU List'!A3:A698,A14,'Master SKU List'!H3:H698,"Negative (check entry)")</f>
        <v>0</v>
      </c>
    </row>
    <row r="15" customFormat="false" ht="15" hidden="false" customHeight="false" outlineLevel="0" collapsed="false">
      <c r="A15" s="10" t="s">
        <v>219</v>
      </c>
      <c r="B15" s="10" t="n">
        <f aca="false">SUMIF('Master SKU List'!A3:A698,A15,'Master SKU List'!D3:D698)</f>
        <v>12800</v>
      </c>
      <c r="C15" s="10" t="n">
        <f aca="false">SUMIF('Master SKU List'!A3:A698,A15,'Master SKU List'!E3:E698)</f>
        <v>960</v>
      </c>
      <c r="D15" s="10" t="n">
        <f aca="false">SUMIF('Master SKU List'!A3:A698,A15,'Master SKU List'!F3:F698)</f>
        <v>11840</v>
      </c>
      <c r="E15" s="10" t="n">
        <f aca="false">COUNTIF('Master SKU List'!A3:A698,A15)</f>
        <v>23</v>
      </c>
      <c r="F15" s="10" t="n">
        <f aca="false">COUNTIFS('Master SKU List'!A3:A698,A15,'Master SKU List'!H3:H698,"Low Stock")+COUNTIFS('Master SKU List'!A3:A698,A15,'Master SKU List'!H3:H698,"Negative (check entry)")</f>
        <v>0</v>
      </c>
    </row>
    <row r="16" customFormat="false" ht="15" hidden="false" customHeight="false" outlineLevel="0" collapsed="false">
      <c r="A16" s="10" t="s">
        <v>63</v>
      </c>
      <c r="B16" s="10" t="n">
        <f aca="false">SUMIF('Master SKU List'!A3:A698,A16,'Master SKU List'!D3:D698)</f>
        <v>14016</v>
      </c>
      <c r="C16" s="10" t="n">
        <f aca="false">SUMIF('Master SKU List'!A3:A698,A16,'Master SKU List'!E3:E698)</f>
        <v>27792</v>
      </c>
      <c r="D16" s="10" t="n">
        <f aca="false">SUMIF('Master SKU List'!A3:A698,A16,'Master SKU List'!F3:F698)</f>
        <v>17076</v>
      </c>
      <c r="E16" s="10" t="n">
        <f aca="false">COUNTIF('Master SKU List'!A3:A698,A16)</f>
        <v>28</v>
      </c>
      <c r="F16" s="10" t="n">
        <f aca="false">COUNTIFS('Master SKU List'!A3:A698,A16,'Master SKU List'!H3:H698,"Low Stock")+COUNTIFS('Master SKU List'!A3:A698,A16,'Master SKU List'!H3:H698,"Negative (check entry)")</f>
        <v>4</v>
      </c>
    </row>
    <row r="17" customFormat="false" ht="15" hidden="false" customHeight="false" outlineLevel="0" collapsed="false">
      <c r="A17" s="10" t="s">
        <v>57</v>
      </c>
      <c r="B17" s="10" t="n">
        <f aca="false">SUMIF('Master SKU List'!A3:A698,A17,'Master SKU List'!D3:D698)</f>
        <v>15040</v>
      </c>
      <c r="C17" s="10" t="n">
        <f aca="false">SUMIF('Master SKU List'!A3:A698,A17,'Master SKU List'!E3:E698)</f>
        <v>5760</v>
      </c>
      <c r="D17" s="10" t="n">
        <f aca="false">SUMIF('Master SKU List'!A3:A698,A17,'Master SKU List'!F3:F698)</f>
        <v>9280</v>
      </c>
      <c r="E17" s="10" t="n">
        <f aca="false">COUNTIF('Master SKU List'!A3:A698,A17)</f>
        <v>22</v>
      </c>
      <c r="F17" s="10" t="n">
        <f aca="false">COUNTIFS('Master SKU List'!A3:A698,A17,'Master SKU List'!H3:H698,"Low Stock")+COUNTIFS('Master SKU List'!A3:A698,A17,'Master SKU List'!H3:H698,"Negative (check entry)")</f>
        <v>1</v>
      </c>
    </row>
    <row r="18" customFormat="false" ht="15" hidden="false" customHeight="false" outlineLevel="0" collapsed="false">
      <c r="A18" s="10" t="s">
        <v>237</v>
      </c>
      <c r="B18" s="10" t="n">
        <f aca="false">SUMIF('Master SKU List'!A3:A698,A18,'Master SKU List'!D3:D698)</f>
        <v>3600</v>
      </c>
      <c r="C18" s="10" t="n">
        <f aca="false">SUMIF('Master SKU List'!A3:A698,A18,'Master SKU List'!E3:E698)</f>
        <v>720</v>
      </c>
      <c r="D18" s="10" t="n">
        <f aca="false">SUMIF('Master SKU List'!A3:A698,A18,'Master SKU List'!F3:F698)</f>
        <v>2880</v>
      </c>
      <c r="E18" s="10" t="n">
        <f aca="false">COUNTIF('Master SKU List'!A3:A698,A18)</f>
        <v>22</v>
      </c>
      <c r="F18" s="10" t="n">
        <f aca="false">COUNTIFS('Master SKU List'!A3:A698,A18,'Master SKU List'!H3:H698,"Low Stock")+COUNTIFS('Master SKU List'!A3:A698,A18,'Master SKU List'!H3:H698,"Negative (check entry)")</f>
        <v>0</v>
      </c>
    </row>
    <row r="19" customFormat="false" ht="15" hidden="false" customHeight="false" outlineLevel="0" collapsed="false">
      <c r="A19" s="10" t="s">
        <v>94</v>
      </c>
      <c r="B19" s="10" t="n">
        <f aca="false">SUMIF('Master SKU List'!A3:A698,A19,'Master SKU List'!D3:D698)</f>
        <v>36560</v>
      </c>
      <c r="C19" s="10" t="n">
        <f aca="false">SUMIF('Master SKU List'!A3:A698,A19,'Master SKU List'!E3:E698)</f>
        <v>21600</v>
      </c>
      <c r="D19" s="10" t="n">
        <f aca="false">SUMIF('Master SKU List'!A3:A698,A19,'Master SKU List'!F3:F698)</f>
        <v>14960</v>
      </c>
      <c r="E19" s="10" t="n">
        <f aca="false">COUNTIF('Master SKU List'!A3:A698,A19)</f>
        <v>21</v>
      </c>
      <c r="F19" s="10" t="n">
        <f aca="false">COUNTIFS('Master SKU List'!A3:A698,A19,'Master SKU List'!H3:H698,"Low Stock")+COUNTIFS('Master SKU List'!A3:A698,A19,'Master SKU List'!H3:H698,"Negative (check entry)")</f>
        <v>3</v>
      </c>
    </row>
    <row r="20" customFormat="false" ht="15" hidden="false" customHeight="false" outlineLevel="0" collapsed="false">
      <c r="A20" s="10" t="s">
        <v>89</v>
      </c>
      <c r="B20" s="10" t="n">
        <f aca="false">SUMIF('Master SKU List'!A3:A698,A20,'Master SKU List'!D3:D698)</f>
        <v>13296</v>
      </c>
      <c r="C20" s="10" t="n">
        <f aca="false">SUMIF('Master SKU List'!A3:A698,A20,'Master SKU List'!E3:E698)</f>
        <v>17088</v>
      </c>
      <c r="D20" s="10" t="n">
        <f aca="false">SUMIF('Master SKU List'!A3:A698,A20,'Master SKU List'!F3:F698)</f>
        <v>15746</v>
      </c>
      <c r="E20" s="10" t="n">
        <f aca="false">COUNTIF('Master SKU List'!A3:A698,A20)</f>
        <v>28</v>
      </c>
      <c r="F20" s="10" t="n">
        <f aca="false">COUNTIFS('Master SKU List'!A3:A698,A20,'Master SKU List'!H3:H698,"Low Stock")+COUNTIFS('Master SKU List'!A3:A698,A20,'Master SKU List'!H3:H698,"Negative (check entry)")</f>
        <v>4</v>
      </c>
    </row>
    <row r="21" customFormat="false" ht="15" hidden="false" customHeight="false" outlineLevel="0" collapsed="false">
      <c r="A21" s="10" t="s">
        <v>67</v>
      </c>
      <c r="B21" s="10" t="n">
        <f aca="false">SUMIF('Master SKU List'!A3:A698,A21,'Master SKU List'!D3:D698)</f>
        <v>11184</v>
      </c>
      <c r="C21" s="10" t="n">
        <f aca="false">SUMIF('Master SKU List'!A3:A698,A21,'Master SKU List'!E3:E698)</f>
        <v>4032</v>
      </c>
      <c r="D21" s="10" t="n">
        <f aca="false">SUMIF('Master SKU List'!A3:A698,A21,'Master SKU List'!F3:F698)</f>
        <v>9761</v>
      </c>
      <c r="E21" s="10" t="n">
        <f aca="false">COUNTIF('Master SKU List'!A3:A698,A21)</f>
        <v>25</v>
      </c>
      <c r="F21" s="10" t="n">
        <f aca="false">COUNTIFS('Master SKU List'!A3:A698,A21,'Master SKU List'!H3:H698,"Low Stock")+COUNTIFS('Master SKU List'!A3:A698,A21,'Master SKU List'!H3:H698,"Negative (check entry)")</f>
        <v>1</v>
      </c>
    </row>
    <row r="22" customFormat="false" ht="15" hidden="false" customHeight="false" outlineLevel="0" collapsed="false">
      <c r="A22" s="10" t="s">
        <v>70</v>
      </c>
      <c r="B22" s="10" t="n">
        <f aca="false">SUMIF('Master SKU List'!A3:A698,A22,'Master SKU List'!D3:D698)</f>
        <v>20320</v>
      </c>
      <c r="C22" s="10" t="n">
        <f aca="false">SUMIF('Master SKU List'!A3:A698,A22,'Master SKU List'!E3:E698)</f>
        <v>11200</v>
      </c>
      <c r="D22" s="10" t="n">
        <f aca="false">SUMIF('Master SKU List'!A3:A698,A22,'Master SKU List'!F3:F698)</f>
        <v>9120</v>
      </c>
      <c r="E22" s="10" t="n">
        <f aca="false">COUNTIF('Master SKU List'!A3:A698,A22)</f>
        <v>24</v>
      </c>
      <c r="F22" s="10" t="n">
        <f aca="false">COUNTIFS('Master SKU List'!A3:A698,A22,'Master SKU List'!H3:H698,"Low Stock")+COUNTIFS('Master SKU List'!A3:A698,A22,'Master SKU List'!H3:H698,"Negative (check entry)")</f>
        <v>4</v>
      </c>
    </row>
    <row r="23" customFormat="false" ht="15" hidden="false" customHeight="false" outlineLevel="0" collapsed="false">
      <c r="A23" s="10" t="s">
        <v>258</v>
      </c>
      <c r="B23" s="10" t="n">
        <f aca="false">SUMIF('Master SKU List'!A3:A698,A23,'Master SKU List'!D3:D698)</f>
        <v>7728</v>
      </c>
      <c r="C23" s="10" t="n">
        <f aca="false">SUMIF('Master SKU List'!A3:A698,A23,'Master SKU List'!E3:E698)</f>
        <v>3120</v>
      </c>
      <c r="D23" s="10" t="n">
        <f aca="false">SUMIF('Master SKU List'!A3:A698,A23,'Master SKU List'!F3:F698)</f>
        <v>14953</v>
      </c>
      <c r="E23" s="10" t="n">
        <f aca="false">COUNTIF('Master SKU List'!A3:A698,A23)</f>
        <v>20</v>
      </c>
      <c r="F23" s="10" t="n">
        <f aca="false">COUNTIFS('Master SKU List'!A3:A698,A23,'Master SKU List'!H3:H698,"Low Stock")+COUNTIFS('Master SKU List'!A3:A698,A23,'Master SKU List'!H3:H698,"Negative (check entry)")</f>
        <v>0</v>
      </c>
    </row>
    <row r="24" customFormat="false" ht="15" hidden="false" customHeight="false" outlineLevel="0" collapsed="false">
      <c r="A24" s="10" t="s">
        <v>62</v>
      </c>
      <c r="B24" s="10" t="n">
        <f aca="false">SUMIF('Master SKU List'!A3:A698,A24,'Master SKU List'!D3:D698)</f>
        <v>15680</v>
      </c>
      <c r="C24" s="10" t="n">
        <f aca="false">SUMIF('Master SKU List'!A3:A698,A24,'Master SKU List'!E3:E698)</f>
        <v>6240</v>
      </c>
      <c r="D24" s="10" t="n">
        <f aca="false">SUMIF('Master SKU List'!A3:A698,A24,'Master SKU List'!F3:F698)</f>
        <v>24799</v>
      </c>
      <c r="E24" s="10" t="n">
        <f aca="false">COUNTIF('Master SKU List'!A3:A698,A24)</f>
        <v>24</v>
      </c>
      <c r="F24" s="10" t="n">
        <f aca="false">COUNTIFS('Master SKU List'!A3:A698,A24,'Master SKU List'!H3:H698,"Low Stock")+COUNTIFS('Master SKU List'!A3:A698,A24,'Master SKU List'!H3:H698,"Negative (check entry)")</f>
        <v>3</v>
      </c>
    </row>
    <row r="25" customFormat="false" ht="15" hidden="false" customHeight="false" outlineLevel="0" collapsed="false">
      <c r="A25" s="10" t="s">
        <v>262</v>
      </c>
      <c r="B25" s="10" t="n">
        <f aca="false">SUMIF('Master SKU List'!A3:A698,A25,'Master SKU List'!D3:D698)</f>
        <v>22864</v>
      </c>
      <c r="C25" s="10" t="n">
        <f aca="false">SUMIF('Master SKU List'!A3:A698,A25,'Master SKU List'!E3:E698)</f>
        <v>728</v>
      </c>
      <c r="D25" s="10" t="n">
        <f aca="false">SUMIF('Master SKU List'!A3:A698,A25,'Master SKU List'!F3:F698)</f>
        <v>22136</v>
      </c>
      <c r="E25" s="10" t="n">
        <f aca="false">COUNTIF('Master SKU List'!A3:A698,A25)</f>
        <v>28</v>
      </c>
      <c r="F25" s="10" t="n">
        <f aca="false">COUNTIFS('Master SKU List'!A3:A698,A25,'Master SKU List'!H3:H698,"Low Stock")+COUNTIFS('Master SKU List'!A3:A698,A25,'Master SKU List'!H3:H698,"Negative (check entry)")</f>
        <v>0</v>
      </c>
    </row>
    <row r="26" customFormat="false" ht="15" hidden="false" customHeight="false" outlineLevel="0" collapsed="false">
      <c r="A26" s="10" t="s">
        <v>92</v>
      </c>
      <c r="B26" s="10" t="n">
        <f aca="false">SUMIF('Master SKU List'!A3:A698,A26,'Master SKU List'!D3:D698)</f>
        <v>9400</v>
      </c>
      <c r="C26" s="10" t="n">
        <f aca="false">SUMIF('Master SKU List'!A3:A698,A26,'Master SKU List'!E3:E698)</f>
        <v>1960</v>
      </c>
      <c r="D26" s="10" t="n">
        <f aca="false">SUMIF('Master SKU List'!A3:A698,A26,'Master SKU List'!F3:F698)</f>
        <v>7440</v>
      </c>
      <c r="E26" s="10" t="n">
        <f aca="false">COUNTIF('Master SKU List'!A3:A698,A26)</f>
        <v>28</v>
      </c>
      <c r="F26" s="10" t="n">
        <f aca="false">COUNTIFS('Master SKU List'!A3:A698,A26,'Master SKU List'!H3:H698,"Low Stock")+COUNTIFS('Master SKU List'!A3:A698,A26,'Master SKU List'!H3:H698,"Negative (check entry)")</f>
        <v>1</v>
      </c>
    </row>
    <row r="27" customFormat="false" ht="15" hidden="false" customHeight="false" outlineLevel="0" collapsed="false">
      <c r="A27" s="10" t="s">
        <v>270</v>
      </c>
      <c r="B27" s="10" t="n">
        <f aca="false">SUMIF('Master SKU List'!A3:A698,A27,'Master SKU List'!D3:D698)</f>
        <v>11136</v>
      </c>
      <c r="C27" s="10" t="n">
        <f aca="false">SUMIF('Master SKU List'!A3:A698,A27,'Master SKU List'!E3:E698)</f>
        <v>1080</v>
      </c>
      <c r="D27" s="10" t="n">
        <f aca="false">SUMIF('Master SKU List'!A3:A698,A27,'Master SKU List'!F3:F698)</f>
        <v>10056</v>
      </c>
      <c r="E27" s="10" t="n">
        <f aca="false">COUNTIF('Master SKU List'!A3:A698,A27)</f>
        <v>17</v>
      </c>
      <c r="F27" s="10" t="n">
        <f aca="false">COUNTIFS('Master SKU List'!A3:A698,A27,'Master SKU List'!H3:H698,"Low Stock")+COUNTIFS('Master SKU List'!A3:A698,A27,'Master SKU List'!H3:H698,"Negative (check entry)")</f>
        <v>0</v>
      </c>
    </row>
    <row r="28" customFormat="false" ht="15" hidden="false" customHeight="false" outlineLevel="0" collapsed="false">
      <c r="A28" s="10" t="s">
        <v>36</v>
      </c>
      <c r="B28" s="10" t="n">
        <f aca="false">SUMIF('Master SKU List'!A3:A698,A28,'Master SKU List'!D3:D698)</f>
        <v>10048</v>
      </c>
      <c r="C28" s="10" t="n">
        <f aca="false">SUMIF('Master SKU List'!A3:A698,A28,'Master SKU List'!E3:E698)</f>
        <v>18912</v>
      </c>
      <c r="D28" s="10" t="n">
        <f aca="false">SUMIF('Master SKU List'!A3:A698,A28,'Master SKU List'!F3:F698)</f>
        <v>3094</v>
      </c>
      <c r="E28" s="10" t="n">
        <f aca="false">COUNTIF('Master SKU List'!A3:A698,A28)</f>
        <v>26</v>
      </c>
      <c r="F28" s="10" t="n">
        <f aca="false">COUNTIFS('Master SKU List'!A3:A698,A28,'Master SKU List'!H3:H698,"Low Stock")+COUNTIFS('Master SKU List'!A3:A698,A28,'Master SKU List'!H3:H698,"Negative (check entry)")</f>
        <v>10</v>
      </c>
    </row>
    <row r="29" customFormat="false" ht="15" hidden="false" customHeight="false" outlineLevel="0" collapsed="false">
      <c r="A29" s="10" t="s">
        <v>275</v>
      </c>
      <c r="B29" s="10" t="n">
        <f aca="false">SUMIF('Master SKU List'!A3:A698,A29,'Master SKU List'!D3:D698)</f>
        <v>0</v>
      </c>
      <c r="C29" s="10" t="n">
        <f aca="false">SUMIF('Master SKU List'!A3:A698,A29,'Master SKU List'!E3:E698)</f>
        <v>0</v>
      </c>
      <c r="D29" s="10" t="n">
        <f aca="false">SUMIF('Master SKU List'!A3:A698,A29,'Master SKU List'!F3:F698)</f>
        <v>0</v>
      </c>
      <c r="E29" s="10" t="n">
        <f aca="false">COUNTIF('Master SKU List'!A3:A698,A29)</f>
        <v>28</v>
      </c>
      <c r="F29" s="10" t="n">
        <f aca="false">COUNTIFS('Master SKU List'!A3:A698,A29,'Master SKU List'!H3:H698,"Low Stock")+COUNTIFS('Master SKU List'!A3:A698,A29,'Master SKU List'!H3:H698,"Negative (check entry)")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2026-07-02T08:14:23Z</dcterms:created>
  <dc:creator>openpyxl</dc:creator>
  <dc:description/>
  <dc:language>en-US</dc:language>
  <cp:lastModifiedBy/>
  <dcterms:modified xsi:type="dcterms:W3CDTF">2026-07-02T08:14:24Z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